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OS" sheetId="1" state="visible" r:id="rId1"/>
    <sheet name="PAGOS" sheetId="2" state="visible" r:id="rId2"/>
    <sheet name="DASHBOARD" sheetId="3" state="visible" r:id="rId3"/>
    <sheet name="DATOS_EMPRESA" sheetId="4" state="visible" r:id="rId4"/>
  </sheets>
  <definedNames>
    <definedName name="_xlnm._FilterDatabase" localSheetId="0" hidden="1">'TRABAJOS'!$A$2:$S$202</definedName>
    <definedName name="_xlnm._FilterDatabase" localSheetId="1" hidden="1">'PAGOS'!$A$2:$H$202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b val="1"/>
      <color rgb="001A3A5C"/>
    </font>
    <font>
      <name val="Arial"/>
      <b val="1"/>
      <color rgb="00FFFFFF"/>
      <sz val="16"/>
    </font>
    <font>
      <b val="1"/>
      <color rgb="00FFFFFF"/>
    </font>
    <font>
      <b val="1"/>
      <color rgb="001A3A5C"/>
      <sz val="14"/>
    </font>
    <font>
      <b val="1"/>
      <color rgb="001E6B3C"/>
      <sz val="14"/>
    </font>
    <font>
      <b val="1"/>
      <color rgb="00C55A11"/>
      <sz val="14"/>
    </font>
    <font>
      <b val="1"/>
      <color rgb="002E5F8A"/>
      <sz val="14"/>
    </font>
    <font>
      <b val="1"/>
      <color rgb="00C00000"/>
      <sz val="14"/>
    </font>
    <font>
      <b val="1"/>
      <color rgb="00757171"/>
      <sz val="14"/>
    </font>
    <font>
      <b val="1"/>
      <color rgb="004472C4"/>
      <sz val="14"/>
    </font>
    <font>
      <b val="1"/>
      <color rgb="00ED7D31"/>
      <sz val="14"/>
    </font>
    <font>
      <b val="1"/>
      <color rgb="00FFC000"/>
      <sz val="14"/>
    </font>
    <font>
      <b val="1"/>
      <color rgb="0070AD47"/>
      <sz val="14"/>
    </font>
    <font>
      <b val="1"/>
      <color rgb="007030A0"/>
      <sz val="14"/>
    </font>
    <font>
      <b val="1"/>
      <color rgb="00B4009E"/>
      <sz val="14"/>
    </font>
    <font>
      <b val="1"/>
      <color rgb="001A3A5C"/>
      <sz val="9"/>
    </font>
    <font>
      <name val="Arial"/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5F8A"/>
      </patternFill>
    </fill>
    <fill>
      <patternFill patternType="solid">
        <fgColor rgb="00FFFFFF"/>
      </patternFill>
    </fill>
    <fill>
      <patternFill patternType="solid">
        <fgColor rgb="00EBF1F8"/>
      </patternFill>
    </fill>
    <fill>
      <patternFill patternType="solid">
        <fgColor rgb="00D6E4F0"/>
      </patternFill>
    </fill>
    <fill>
      <patternFill patternType="solid">
        <fgColor rgb="001E6B3C"/>
      </patternFill>
    </fill>
    <fill>
      <patternFill patternType="solid">
        <fgColor rgb="00E8F5EE"/>
      </patternFill>
    </fill>
    <fill>
      <patternFill patternType="solid">
        <fgColor rgb="00F5F9FF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757171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B4009E"/>
      </patternFill>
    </fill>
  </fills>
  <borders count="14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E6B3C"/>
      </left>
      <right style="medium">
        <color rgb="001E6B3C"/>
      </right>
      <top style="medium">
        <color rgb="001E6B3C"/>
      </top>
      <bottom style="medium">
        <color rgb="001E6B3C"/>
      </bottom>
    </border>
    <border>
      <left style="medium">
        <color rgb="00C55A11"/>
      </left>
      <right style="medium">
        <color rgb="00C55A11"/>
      </right>
      <top style="medium">
        <color rgb="00C55A11"/>
      </top>
      <bottom style="medium">
        <color rgb="00C55A11"/>
      </bottom>
    </border>
    <border>
      <left style="medium">
        <color rgb="002E5F8A"/>
      </left>
      <right style="medium">
        <color rgb="002E5F8A"/>
      </right>
      <top style="medium">
        <color rgb="002E5F8A"/>
      </top>
      <bottom style="medium">
        <color rgb="002E5F8A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757171"/>
      </left>
      <right style="medium">
        <color rgb="00757171"/>
      </right>
      <top style="medium">
        <color rgb="00757171"/>
      </top>
      <bottom style="medium">
        <color rgb="00757171"/>
      </bottom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medium">
        <color rgb="00ED7D31"/>
      </left>
      <right style="medium">
        <color rgb="00ED7D31"/>
      </right>
      <top style="medium">
        <color rgb="00ED7D31"/>
      </top>
      <bottom style="medium">
        <color rgb="00ED7D31"/>
      </bottom>
    </border>
    <border>
      <left style="medium">
        <color rgb="00FFC000"/>
      </left>
      <right style="medium">
        <color rgb="00FFC000"/>
      </right>
      <top style="medium">
        <color rgb="00FFC000"/>
      </top>
      <bottom style="medium">
        <color rgb="00FFC000"/>
      </bottom>
    </border>
    <border>
      <left style="medium">
        <color rgb="0070AD47"/>
      </left>
      <right style="medium">
        <color rgb="0070AD47"/>
      </right>
      <top style="medium">
        <color rgb="0070AD47"/>
      </top>
      <bottom style="medium">
        <color rgb="0070AD47"/>
      </bottom>
    </border>
    <border>
      <left style="medium">
        <color rgb="007030A0"/>
      </left>
      <right style="medium">
        <color rgb="007030A0"/>
      </right>
      <top style="medium">
        <color rgb="007030A0"/>
      </top>
      <bottom style="medium">
        <color rgb="007030A0"/>
      </bottom>
    </border>
    <border>
      <left style="medium">
        <color rgb="00B4009E"/>
      </left>
      <right style="medium">
        <color rgb="00B4009E"/>
      </right>
      <top style="medium">
        <color rgb="00B4009E"/>
      </top>
      <bottom style="medium">
        <color rgb="00B4009E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applyProtection="1" pivotButton="0" quotePrefix="0" xfId="0">
      <alignment horizontal="left" vertical="center" wrapText="1"/>
      <protection locked="0" hidden="0"/>
    </xf>
    <xf numFmtId="164" fontId="3" fillId="4" borderId="2" applyAlignment="1" applyProtection="1" pivotButton="0" quotePrefix="0" xfId="0">
      <alignment horizontal="left" vertical="center" wrapText="1"/>
      <protection locked="0" hidden="0"/>
    </xf>
    <xf numFmtId="164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applyProtection="1" pivotButton="0" quotePrefix="0" xfId="0">
      <alignment horizontal="left" vertical="center" wrapText="1"/>
      <protection locked="0" hidden="0"/>
    </xf>
    <xf numFmtId="164" fontId="3" fillId="5" borderId="2" applyAlignment="1" applyProtection="1" pivotButton="0" quotePrefix="0" xfId="0">
      <alignment horizontal="left" vertical="center" wrapText="1"/>
      <protection locked="0" hidden="0"/>
    </xf>
    <xf numFmtId="164" fontId="3" fillId="5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/>
    </xf>
    <xf numFmtId="164" fontId="4" fillId="6" borderId="1" pivotButton="0" quotePrefix="0" xfId="0"/>
    <xf numFmtId="0" fontId="1" fillId="7" borderId="0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164" fontId="3" fillId="8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/>
    </xf>
    <xf numFmtId="0" fontId="19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 wrapText="1"/>
    </xf>
    <xf numFmtId="164" fontId="8" fillId="9" borderId="3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 wrapText="1"/>
    </xf>
    <xf numFmtId="164" fontId="9" fillId="9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center" vertical="center"/>
    </xf>
    <xf numFmtId="0" fontId="6" fillId="11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/>
    </xf>
    <xf numFmtId="0" fontId="6" fillId="12" borderId="7" applyAlignment="1" pivotButton="0" quotePrefix="0" xfId="0">
      <alignment horizontal="center" vertical="center" wrapText="1"/>
    </xf>
    <xf numFmtId="0" fontId="12" fillId="9" borderId="7" applyAlignment="1" pivotButton="0" quotePrefix="0" xfId="0">
      <alignment horizontal="center" vertical="center"/>
    </xf>
    <xf numFmtId="0" fontId="6" fillId="13" borderId="8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/>
    </xf>
    <xf numFmtId="0" fontId="6" fillId="14" borderId="9" applyAlignment="1" pivotButton="0" quotePrefix="0" xfId="0">
      <alignment horizontal="center" vertical="center" wrapText="1"/>
    </xf>
    <xf numFmtId="0" fontId="14" fillId="9" borderId="9" applyAlignment="1" pivotButton="0" quotePrefix="0" xfId="0">
      <alignment horizontal="center" vertical="center"/>
    </xf>
    <xf numFmtId="0" fontId="6" fillId="15" borderId="10" applyAlignment="1" pivotButton="0" quotePrefix="0" xfId="0">
      <alignment horizontal="center" vertical="center" wrapText="1"/>
    </xf>
    <xf numFmtId="0" fontId="15" fillId="9" borderId="10" applyAlignment="1" pivotButton="0" quotePrefix="0" xfId="0">
      <alignment horizontal="center" vertical="center"/>
    </xf>
    <xf numFmtId="0" fontId="6" fillId="16" borderId="11" applyAlignment="1" pivotButton="0" quotePrefix="0" xfId="0">
      <alignment horizontal="center" vertical="center" wrapText="1"/>
    </xf>
    <xf numFmtId="0" fontId="16" fillId="9" borderId="1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6" fillId="17" borderId="12" applyAlignment="1" pivotButton="0" quotePrefix="0" xfId="0">
      <alignment horizontal="center" vertical="center" wrapText="1"/>
    </xf>
    <xf numFmtId="0" fontId="17" fillId="9" borderId="12" applyAlignment="1" pivotButton="0" quotePrefix="0" xfId="0">
      <alignment horizontal="center" vertical="center"/>
    </xf>
    <xf numFmtId="0" fontId="6" fillId="18" borderId="13" applyAlignment="1" pivotButton="0" quotePrefix="0" xfId="0">
      <alignment horizontal="center" vertical="center" wrapText="1"/>
    </xf>
    <xf numFmtId="0" fontId="18" fillId="9" borderId="13" applyAlignment="1" pivotButton="0" quotePrefix="0" xfId="0">
      <alignment horizontal="center" vertical="center"/>
    </xf>
    <xf numFmtId="0" fontId="9" fillId="9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0" fillId="0" borderId="0" pivotButton="0" quotePrefix="0" xfId="0"/>
    <xf numFmtId="0" fontId="20" fillId="2" borderId="0" applyAlignment="1" pivotButton="0" quotePrefix="0" xfId="0">
      <alignment horizontal="center"/>
    </xf>
    <xf numFmtId="0" fontId="4" fillId="5" borderId="2" applyAlignment="1" pivotButton="0" quotePrefix="0" xfId="0">
      <alignment horizontal="left" vertical="center" wrapText="1"/>
    </xf>
    <xf numFmtId="0" fontId="0" fillId="0" borderId="2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Trabajos por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'DASHBOARD'!Q1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prstDash val="solid"/>
              </a:ln>
            </spPr>
          </dPt>
          <dPt>
            <idx val="1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2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3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0000"/>
              </a:solidFill>
              <a:ln>
                <a:prstDash val="solid"/>
              </a:ln>
            </spPr>
          </dPt>
          <cat>
            <numRef>
              <f>'DASHBOARD'!$P$2:$P$7</f>
            </numRef>
          </cat>
          <val>
            <numRef>
              <f>'DASHBOARD'!$Q$2:$Q$7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Pago Completo</a:t>
            </a:r>
          </a:p>
        </rich>
      </tx>
    </title>
    <plotArea>
      <pieChart>
        <varyColors val="1"/>
        <ser>
          <idx val="0"/>
          <order val="0"/>
          <tx>
            <strRef>
              <f>'DASHBOARD'!Q10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0000"/>
              </a:solidFill>
              <a:ln>
                <a:prstDash val="solid"/>
              </a:ln>
            </spPr>
          </dPt>
          <cat>
            <numRef>
              <f>'DASHBOARD'!$P$11:$P$12</f>
            </numRef>
          </cat>
          <val>
            <numRef>
              <f>'DASHBOARD'!$Q$11:$Q$12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Semana (últimas 6 semanas)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'DASHBOARD'!Q15</f>
            </strRef>
          </tx>
          <spPr>
            <a:ln w="22000">
              <a:solidFill>
                <a:srgbClr val="2E5F8A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'DASHBOARD'!$P$16:$P$21</f>
            </numRef>
          </cat>
          <val>
            <numRef>
              <f>'DASHBOARD'!$Q$16:$Q$21</f>
            </numRef>
          </val>
          <smooth val="0"/>
        </ser>
        <ser>
          <idx val="1"/>
          <order val="1"/>
          <tx>
            <strRef>
              <f>'DASHBOARD'!R15</f>
            </strRef>
          </tx>
          <spPr>
            <a:ln>
              <a:noFill/>
              <a:prstDash val="solid"/>
            </a:ln>
          </spPr>
          <marker>
            <symbol val="circle"/>
            <size val="12"/>
            <spPr>
              <a:solidFill>
                <a:srgbClr val="FF0000"/>
              </a:solidFill>
              <a:ln>
                <a:prstDash val="solid"/>
              </a:ln>
            </spPr>
          </marker>
          <dLbls>
            <showVal val="1"/>
          </dLbls>
          <val>
            <numRef>
              <f>'DASHBOARD'!$R$16:$R$21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Ventas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Mes (últimos 6 meses)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'DASHBOARD'!Q24</f>
            </strRef>
          </tx>
          <spPr>
            <a:ln w="22000">
              <a:solidFill>
                <a:srgbClr val="1E6B3C"/>
              </a:solidFill>
              <a:prstDash val="solid"/>
            </a:ln>
          </spPr>
          <marker>
            <symbol val="diamond"/>
            <size val="7"/>
            <spPr>
              <a:ln>
                <a:prstDash val="solid"/>
              </a:ln>
            </spPr>
          </marker>
          <dLbls>
            <showVal val="1"/>
          </dLbls>
          <cat>
            <numRef>
              <f>'DASHBOARD'!$P$25:$P$30</f>
            </numRef>
          </cat>
          <val>
            <numRef>
              <f>'DASHBOARD'!$Q$25:$Q$30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Ventas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15</row>
      <rowOff>0</rowOff>
    </from>
    <ext cx="36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33</row>
      <rowOff>0</rowOff>
    </from>
    <ext cx="72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51</row>
      <rowOff>0</rowOff>
    </from>
    <ext cx="72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8" customWidth="1" min="4" max="4"/>
    <col width="35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15" customWidth="1" min="14" max="14"/>
    <col width="15" customWidth="1" min="15" max="15"/>
    <col width="14" customWidth="1" min="16" max="16"/>
    <col width="18" customWidth="1" min="17" max="17"/>
    <col width="16" customWidth="1" min="18" max="18"/>
    <col width="35" customWidth="1" min="19" max="19"/>
  </cols>
  <sheetData>
    <row r="1" ht="32" customHeight="1">
      <c r="A1" s="1" t="inlineStr">
        <is>
          <t>GM7 PRO · CONTROL OPERATIVO DE TRABAJOS</t>
        </is>
      </c>
    </row>
    <row r="2">
      <c r="A2" s="2" t="inlineStr">
        <is>
          <t>ID Trabajo</t>
        </is>
      </c>
      <c r="B2" s="2" t="inlineStr">
        <is>
          <t>Fecha Pedido</t>
        </is>
      </c>
      <c r="C2" s="2" t="inlineStr">
        <is>
          <t>Cliente</t>
        </is>
      </c>
      <c r="D2" s="2" t="inlineStr">
        <is>
          <t>Tipo Trabajo</t>
        </is>
      </c>
      <c r="E2" s="2" t="inlineStr">
        <is>
          <t>Descripción</t>
        </is>
      </c>
      <c r="F2" s="2" t="inlineStr">
        <is>
          <t>Cantidad</t>
        </is>
      </c>
      <c r="G2" s="2" t="inlineStr">
        <is>
          <t>¿Trae Diseño?</t>
        </is>
      </c>
      <c r="H2" s="2" t="inlineStr">
        <is>
          <t>Costo Diseño</t>
        </is>
      </c>
      <c r="I2" s="2" t="inlineStr">
        <is>
          <t>Total Trabajo</t>
        </is>
      </c>
      <c r="J2" s="2" t="inlineStr">
        <is>
          <t>Anticipo 50%</t>
        </is>
      </c>
      <c r="K2" s="2" t="inlineStr">
        <is>
          <t>Anticipo Recibido</t>
        </is>
      </c>
      <c r="L2" s="2" t="inlineStr">
        <is>
          <t>Saldo Pendiente</t>
        </is>
      </c>
      <c r="M2" s="2" t="inlineStr">
        <is>
          <t>Responsable Diseño</t>
        </is>
      </c>
      <c r="N2" s="2" t="inlineStr">
        <is>
          <t>Fecha Compromiso</t>
        </is>
      </c>
      <c r="O2" s="2" t="inlineStr">
        <is>
          <t>Fecha Entrega Real</t>
        </is>
      </c>
      <c r="P2" s="2" t="inlineStr">
        <is>
          <t>Prioridad</t>
        </is>
      </c>
      <c r="Q2" s="2" t="inlineStr">
        <is>
          <t>Status</t>
        </is>
      </c>
      <c r="R2" s="2" t="inlineStr">
        <is>
          <t>Pago Completo</t>
        </is>
      </c>
      <c r="S2" s="2" t="inlineStr">
        <is>
          <t>Comentarios</t>
        </is>
      </c>
    </row>
    <row r="3">
      <c r="A3" s="3">
        <f>IF(B3="","","FC-"&amp;TEXT(ROW()-2,"0000"))</f>
        <v/>
      </c>
      <c r="B3" s="4" t="n"/>
      <c r="C3" s="4" t="n"/>
      <c r="D3" s="4" t="n"/>
      <c r="E3" s="4" t="n"/>
      <c r="F3" s="4" t="n"/>
      <c r="G3" s="4" t="n"/>
      <c r="H3" s="5" t="n"/>
      <c r="I3" s="5" t="n"/>
      <c r="J3" s="6">
        <f>IF(I3="","",I3*0.5)</f>
        <v/>
      </c>
      <c r="K3" s="5" t="n"/>
      <c r="L3" s="6">
        <f>IF(I3="","",I3-K3)</f>
        <v/>
      </c>
      <c r="M3" s="4" t="n"/>
      <c r="N3" s="4" t="n"/>
      <c r="O3" s="4" t="n"/>
      <c r="P3" s="4" t="n"/>
      <c r="Q3" s="4" t="n"/>
      <c r="R3" s="4">
        <f>IF(I3="","",IF(L3&lt;=0,"Sí","No"))</f>
        <v/>
      </c>
      <c r="S3" s="4" t="n"/>
    </row>
    <row r="4">
      <c r="A4" s="7">
        <f>IF(B4="","","FC-"&amp;TEXT(ROW()-2,"0000"))</f>
        <v/>
      </c>
      <c r="B4" s="8" t="n"/>
      <c r="C4" s="8" t="n"/>
      <c r="D4" s="8" t="n"/>
      <c r="E4" s="8" t="n"/>
      <c r="F4" s="8" t="n"/>
      <c r="G4" s="8" t="n"/>
      <c r="H4" s="9" t="n"/>
      <c r="I4" s="9" t="n"/>
      <c r="J4" s="10">
        <f>IF(I4="","",I4*0.5)</f>
        <v/>
      </c>
      <c r="K4" s="9" t="n"/>
      <c r="L4" s="10">
        <f>IF(I4="","",I4-K4)</f>
        <v/>
      </c>
      <c r="M4" s="8" t="n"/>
      <c r="N4" s="8" t="n"/>
      <c r="O4" s="8" t="n"/>
      <c r="P4" s="8" t="n"/>
      <c r="Q4" s="8" t="n"/>
      <c r="R4" s="8">
        <f>IF(I4="","",IF(L4&lt;=0,"Sí","No"))</f>
        <v/>
      </c>
      <c r="S4" s="8" t="n"/>
    </row>
    <row r="5">
      <c r="A5" s="3">
        <f>IF(B5="","","FC-"&amp;TEXT(ROW()-2,"0000"))</f>
        <v/>
      </c>
      <c r="B5" s="4" t="n"/>
      <c r="C5" s="4" t="n"/>
      <c r="D5" s="4" t="n"/>
      <c r="E5" s="4" t="n"/>
      <c r="F5" s="4" t="n"/>
      <c r="G5" s="4" t="n"/>
      <c r="H5" s="5" t="n"/>
      <c r="I5" s="5" t="n"/>
      <c r="J5" s="6">
        <f>IF(I5="","",I5*0.5)</f>
        <v/>
      </c>
      <c r="K5" s="5" t="n"/>
      <c r="L5" s="6">
        <f>IF(I5="","",I5-K5)</f>
        <v/>
      </c>
      <c r="M5" s="4" t="n"/>
      <c r="N5" s="4" t="n"/>
      <c r="O5" s="4" t="n"/>
      <c r="P5" s="4" t="n"/>
      <c r="Q5" s="4" t="n"/>
      <c r="R5" s="4">
        <f>IF(I5="","",IF(L5&lt;=0,"Sí","No"))</f>
        <v/>
      </c>
      <c r="S5" s="4" t="n"/>
    </row>
    <row r="6">
      <c r="A6" s="7">
        <f>IF(B6="","","FC-"&amp;TEXT(ROW()-2,"0000"))</f>
        <v/>
      </c>
      <c r="B6" s="8" t="n"/>
      <c r="C6" s="8" t="n"/>
      <c r="D6" s="8" t="n"/>
      <c r="E6" s="8" t="n"/>
      <c r="F6" s="8" t="n"/>
      <c r="G6" s="8" t="n"/>
      <c r="H6" s="9" t="n"/>
      <c r="I6" s="9" t="n"/>
      <c r="J6" s="10">
        <f>IF(I6="","",I6*0.5)</f>
        <v/>
      </c>
      <c r="K6" s="9" t="n"/>
      <c r="L6" s="10">
        <f>IF(I6="","",I6-K6)</f>
        <v/>
      </c>
      <c r="M6" s="8" t="n"/>
      <c r="N6" s="8" t="n"/>
      <c r="O6" s="8" t="n"/>
      <c r="P6" s="8" t="n"/>
      <c r="Q6" s="8" t="n"/>
      <c r="R6" s="8">
        <f>IF(I6="","",IF(L6&lt;=0,"Sí","No"))</f>
        <v/>
      </c>
      <c r="S6" s="8" t="n"/>
    </row>
    <row r="7">
      <c r="A7" s="3">
        <f>IF(B7="","","FC-"&amp;TEXT(ROW()-2,"0000"))</f>
        <v/>
      </c>
      <c r="B7" s="4" t="n"/>
      <c r="C7" s="4" t="n"/>
      <c r="D7" s="4" t="n"/>
      <c r="E7" s="4" t="n"/>
      <c r="F7" s="4" t="n"/>
      <c r="G7" s="4" t="n"/>
      <c r="H7" s="5" t="n"/>
      <c r="I7" s="5" t="n"/>
      <c r="J7" s="6">
        <f>IF(I7="","",I7*0.5)</f>
        <v/>
      </c>
      <c r="K7" s="5" t="n"/>
      <c r="L7" s="6">
        <f>IF(I7="","",I7-K7)</f>
        <v/>
      </c>
      <c r="M7" s="4" t="n"/>
      <c r="N7" s="4" t="n"/>
      <c r="O7" s="4" t="n"/>
      <c r="P7" s="4" t="n"/>
      <c r="Q7" s="4" t="n"/>
      <c r="R7" s="4">
        <f>IF(I7="","",IF(L7&lt;=0,"Sí","No"))</f>
        <v/>
      </c>
      <c r="S7" s="4" t="n"/>
    </row>
    <row r="8">
      <c r="A8" s="7">
        <f>IF(B8="","","FC-"&amp;TEXT(ROW()-2,"0000"))</f>
        <v/>
      </c>
      <c r="B8" s="8" t="n"/>
      <c r="C8" s="8" t="n"/>
      <c r="D8" s="8" t="n"/>
      <c r="E8" s="8" t="n"/>
      <c r="F8" s="8" t="n"/>
      <c r="G8" s="8" t="n"/>
      <c r="H8" s="9" t="n"/>
      <c r="I8" s="9" t="n"/>
      <c r="J8" s="10">
        <f>IF(I8="","",I8*0.5)</f>
        <v/>
      </c>
      <c r="K8" s="9" t="n"/>
      <c r="L8" s="10">
        <f>IF(I8="","",I8-K8)</f>
        <v/>
      </c>
      <c r="M8" s="8" t="n"/>
      <c r="N8" s="8" t="n"/>
      <c r="O8" s="8" t="n"/>
      <c r="P8" s="8" t="n"/>
      <c r="Q8" s="8" t="n"/>
      <c r="R8" s="8">
        <f>IF(I8="","",IF(L8&lt;=0,"Sí","No"))</f>
        <v/>
      </c>
      <c r="S8" s="8" t="n"/>
    </row>
    <row r="9">
      <c r="A9" s="3">
        <f>IF(B9="","","FC-"&amp;TEXT(ROW()-2,"0000"))</f>
        <v/>
      </c>
      <c r="B9" s="4" t="n"/>
      <c r="C9" s="4" t="n"/>
      <c r="D9" s="4" t="n"/>
      <c r="E9" s="4" t="n"/>
      <c r="F9" s="4" t="n"/>
      <c r="G9" s="4" t="n"/>
      <c r="H9" s="5" t="n"/>
      <c r="I9" s="5" t="n"/>
      <c r="J9" s="6">
        <f>IF(I9="","",I9*0.5)</f>
        <v/>
      </c>
      <c r="K9" s="5" t="n"/>
      <c r="L9" s="6">
        <f>IF(I9="","",I9-K9)</f>
        <v/>
      </c>
      <c r="M9" s="4" t="n"/>
      <c r="N9" s="4" t="n"/>
      <c r="O9" s="4" t="n"/>
      <c r="P9" s="4" t="n"/>
      <c r="Q9" s="4" t="n"/>
      <c r="R9" s="4">
        <f>IF(I9="","",IF(L9&lt;=0,"Sí","No"))</f>
        <v/>
      </c>
      <c r="S9" s="4" t="n"/>
    </row>
    <row r="10">
      <c r="A10" s="7">
        <f>IF(B10="","","FC-"&amp;TEXT(ROW()-2,"0000"))</f>
        <v/>
      </c>
      <c r="B10" s="8" t="n"/>
      <c r="C10" s="8" t="n"/>
      <c r="D10" s="8" t="n"/>
      <c r="E10" s="8" t="n"/>
      <c r="F10" s="8" t="n"/>
      <c r="G10" s="8" t="n"/>
      <c r="H10" s="9" t="n"/>
      <c r="I10" s="9" t="n"/>
      <c r="J10" s="10">
        <f>IF(I10="","",I10*0.5)</f>
        <v/>
      </c>
      <c r="K10" s="9" t="n"/>
      <c r="L10" s="10">
        <f>IF(I10="","",I10-K10)</f>
        <v/>
      </c>
      <c r="M10" s="8" t="n"/>
      <c r="N10" s="8" t="n"/>
      <c r="O10" s="8" t="n"/>
      <c r="P10" s="8" t="n"/>
      <c r="Q10" s="8" t="n"/>
      <c r="R10" s="8">
        <f>IF(I10="","",IF(L10&lt;=0,"Sí","No"))</f>
        <v/>
      </c>
      <c r="S10" s="8" t="n"/>
    </row>
    <row r="11">
      <c r="A11" s="3">
        <f>IF(B11="","","FC-"&amp;TEXT(ROW()-2,"0000"))</f>
        <v/>
      </c>
      <c r="B11" s="4" t="n"/>
      <c r="C11" s="4" t="n"/>
      <c r="D11" s="4" t="n"/>
      <c r="E11" s="4" t="n"/>
      <c r="F11" s="4" t="n"/>
      <c r="G11" s="4" t="n"/>
      <c r="H11" s="5" t="n"/>
      <c r="I11" s="5" t="n"/>
      <c r="J11" s="6">
        <f>IF(I11="","",I11*0.5)</f>
        <v/>
      </c>
      <c r="K11" s="5" t="n"/>
      <c r="L11" s="6">
        <f>IF(I11="","",I11-K11)</f>
        <v/>
      </c>
      <c r="M11" s="4" t="n"/>
      <c r="N11" s="4" t="n"/>
      <c r="O11" s="4" t="n"/>
      <c r="P11" s="4" t="n"/>
      <c r="Q11" s="4" t="n"/>
      <c r="R11" s="4">
        <f>IF(I11="","",IF(L11&lt;=0,"Sí","No"))</f>
        <v/>
      </c>
      <c r="S11" s="4" t="n"/>
    </row>
    <row r="12">
      <c r="A12" s="7">
        <f>IF(B12="","","FC-"&amp;TEXT(ROW()-2,"0000"))</f>
        <v/>
      </c>
      <c r="B12" s="8" t="n"/>
      <c r="C12" s="8" t="n"/>
      <c r="D12" s="8" t="n"/>
      <c r="E12" s="8" t="n"/>
      <c r="F12" s="8" t="n"/>
      <c r="G12" s="8" t="n"/>
      <c r="H12" s="9" t="n"/>
      <c r="I12" s="9" t="n"/>
      <c r="J12" s="10">
        <f>IF(I12="","",I12*0.5)</f>
        <v/>
      </c>
      <c r="K12" s="9" t="n"/>
      <c r="L12" s="10">
        <f>IF(I12="","",I12-K12)</f>
        <v/>
      </c>
      <c r="M12" s="8" t="n"/>
      <c r="N12" s="8" t="n"/>
      <c r="O12" s="8" t="n"/>
      <c r="P12" s="8" t="n"/>
      <c r="Q12" s="8" t="n"/>
      <c r="R12" s="8">
        <f>IF(I12="","",IF(L12&lt;=0,"Sí","No"))</f>
        <v/>
      </c>
      <c r="S12" s="8" t="n"/>
    </row>
    <row r="13">
      <c r="A13" s="3">
        <f>IF(B13="","","FC-"&amp;TEXT(ROW()-2,"0000"))</f>
        <v/>
      </c>
      <c r="B13" s="4" t="n"/>
      <c r="C13" s="4" t="n"/>
      <c r="D13" s="4" t="n"/>
      <c r="E13" s="4" t="n"/>
      <c r="F13" s="4" t="n"/>
      <c r="G13" s="4" t="n"/>
      <c r="H13" s="5" t="n"/>
      <c r="I13" s="5" t="n"/>
      <c r="J13" s="6">
        <f>IF(I13="","",I13*0.5)</f>
        <v/>
      </c>
      <c r="K13" s="5" t="n"/>
      <c r="L13" s="6">
        <f>IF(I13="","",I13-K13)</f>
        <v/>
      </c>
      <c r="M13" s="4" t="n"/>
      <c r="N13" s="4" t="n"/>
      <c r="O13" s="4" t="n"/>
      <c r="P13" s="4" t="n"/>
      <c r="Q13" s="4" t="n"/>
      <c r="R13" s="4">
        <f>IF(I13="","",IF(L13&lt;=0,"Sí","No"))</f>
        <v/>
      </c>
      <c r="S13" s="4" t="n"/>
    </row>
    <row r="14">
      <c r="A14" s="7">
        <f>IF(B14="","","FC-"&amp;TEXT(ROW()-2,"0000"))</f>
        <v/>
      </c>
      <c r="B14" s="8" t="n"/>
      <c r="C14" s="8" t="n"/>
      <c r="D14" s="8" t="n"/>
      <c r="E14" s="8" t="n"/>
      <c r="F14" s="8" t="n"/>
      <c r="G14" s="8" t="n"/>
      <c r="H14" s="9" t="n"/>
      <c r="I14" s="9" t="n"/>
      <c r="J14" s="10">
        <f>IF(I14="","",I14*0.5)</f>
        <v/>
      </c>
      <c r="K14" s="9" t="n"/>
      <c r="L14" s="10">
        <f>IF(I14="","",I14-K14)</f>
        <v/>
      </c>
      <c r="M14" s="8" t="n"/>
      <c r="N14" s="8" t="n"/>
      <c r="O14" s="8" t="n"/>
      <c r="P14" s="8" t="n"/>
      <c r="Q14" s="8" t="n"/>
      <c r="R14" s="8">
        <f>IF(I14="","",IF(L14&lt;=0,"Sí","No"))</f>
        <v/>
      </c>
      <c r="S14" s="8" t="n"/>
    </row>
    <row r="15">
      <c r="A15" s="3">
        <f>IF(B15="","","FC-"&amp;TEXT(ROW()-2,"0000"))</f>
        <v/>
      </c>
      <c r="B15" s="4" t="n"/>
      <c r="C15" s="4" t="n"/>
      <c r="D15" s="4" t="n"/>
      <c r="E15" s="4" t="n"/>
      <c r="F15" s="4" t="n"/>
      <c r="G15" s="4" t="n"/>
      <c r="H15" s="5" t="n"/>
      <c r="I15" s="5" t="n"/>
      <c r="J15" s="6">
        <f>IF(I15="","",I15*0.5)</f>
        <v/>
      </c>
      <c r="K15" s="5" t="n"/>
      <c r="L15" s="6">
        <f>IF(I15="","",I15-K15)</f>
        <v/>
      </c>
      <c r="M15" s="4" t="n"/>
      <c r="N15" s="4" t="n"/>
      <c r="O15" s="4" t="n"/>
      <c r="P15" s="4" t="n"/>
      <c r="Q15" s="4" t="n"/>
      <c r="R15" s="4">
        <f>IF(I15="","",IF(L15&lt;=0,"Sí","No"))</f>
        <v/>
      </c>
      <c r="S15" s="4" t="n"/>
    </row>
    <row r="16">
      <c r="A16" s="7">
        <f>IF(B16="","","FC-"&amp;TEXT(ROW()-2,"0000"))</f>
        <v/>
      </c>
      <c r="B16" s="8" t="n"/>
      <c r="C16" s="8" t="n"/>
      <c r="D16" s="8" t="n"/>
      <c r="E16" s="8" t="n"/>
      <c r="F16" s="8" t="n"/>
      <c r="G16" s="8" t="n"/>
      <c r="H16" s="9" t="n"/>
      <c r="I16" s="9" t="n"/>
      <c r="J16" s="10">
        <f>IF(I16="","",I16*0.5)</f>
        <v/>
      </c>
      <c r="K16" s="9" t="n"/>
      <c r="L16" s="10">
        <f>IF(I16="","",I16-K16)</f>
        <v/>
      </c>
      <c r="M16" s="8" t="n"/>
      <c r="N16" s="8" t="n"/>
      <c r="O16" s="8" t="n"/>
      <c r="P16" s="8" t="n"/>
      <c r="Q16" s="8" t="n"/>
      <c r="R16" s="8">
        <f>IF(I16="","",IF(L16&lt;=0,"Sí","No"))</f>
        <v/>
      </c>
      <c r="S16" s="8" t="n"/>
    </row>
    <row r="17">
      <c r="A17" s="3">
        <f>IF(B17="","","FC-"&amp;TEXT(ROW()-2,"0000"))</f>
        <v/>
      </c>
      <c r="B17" s="4" t="n"/>
      <c r="C17" s="4" t="n"/>
      <c r="D17" s="4" t="n"/>
      <c r="E17" s="4" t="n"/>
      <c r="F17" s="4" t="n"/>
      <c r="G17" s="4" t="n"/>
      <c r="H17" s="5" t="n"/>
      <c r="I17" s="5" t="n"/>
      <c r="J17" s="6">
        <f>IF(I17="","",I17*0.5)</f>
        <v/>
      </c>
      <c r="K17" s="5" t="n"/>
      <c r="L17" s="6">
        <f>IF(I17="","",I17-K17)</f>
        <v/>
      </c>
      <c r="M17" s="4" t="n"/>
      <c r="N17" s="4" t="n"/>
      <c r="O17" s="4" t="n"/>
      <c r="P17" s="4" t="n"/>
      <c r="Q17" s="4" t="n"/>
      <c r="R17" s="4">
        <f>IF(I17="","",IF(L17&lt;=0,"Sí","No"))</f>
        <v/>
      </c>
      <c r="S17" s="4" t="n"/>
    </row>
    <row r="18">
      <c r="A18" s="7">
        <f>IF(B18="","","FC-"&amp;TEXT(ROW()-2,"0000"))</f>
        <v/>
      </c>
      <c r="B18" s="8" t="n"/>
      <c r="C18" s="8" t="n"/>
      <c r="D18" s="8" t="n"/>
      <c r="E18" s="8" t="n"/>
      <c r="F18" s="8" t="n"/>
      <c r="G18" s="8" t="n"/>
      <c r="H18" s="9" t="n"/>
      <c r="I18" s="9" t="n"/>
      <c r="J18" s="10">
        <f>IF(I18="","",I18*0.5)</f>
        <v/>
      </c>
      <c r="K18" s="9" t="n"/>
      <c r="L18" s="10">
        <f>IF(I18="","",I18-K18)</f>
        <v/>
      </c>
      <c r="M18" s="8" t="n"/>
      <c r="N18" s="8" t="n"/>
      <c r="O18" s="8" t="n"/>
      <c r="P18" s="8" t="n"/>
      <c r="Q18" s="8" t="n"/>
      <c r="R18" s="8">
        <f>IF(I18="","",IF(L18&lt;=0,"Sí","No"))</f>
        <v/>
      </c>
      <c r="S18" s="8" t="n"/>
    </row>
    <row r="19">
      <c r="A19" s="3">
        <f>IF(B19="","","FC-"&amp;TEXT(ROW()-2,"0000"))</f>
        <v/>
      </c>
      <c r="B19" s="4" t="n"/>
      <c r="C19" s="4" t="n"/>
      <c r="D19" s="4" t="n"/>
      <c r="E19" s="4" t="n"/>
      <c r="F19" s="4" t="n"/>
      <c r="G19" s="4" t="n"/>
      <c r="H19" s="5" t="n"/>
      <c r="I19" s="5" t="n"/>
      <c r="J19" s="6">
        <f>IF(I19="","",I19*0.5)</f>
        <v/>
      </c>
      <c r="K19" s="5" t="n"/>
      <c r="L19" s="6">
        <f>IF(I19="","",I19-K19)</f>
        <v/>
      </c>
      <c r="M19" s="4" t="n"/>
      <c r="N19" s="4" t="n"/>
      <c r="O19" s="4" t="n"/>
      <c r="P19" s="4" t="n"/>
      <c r="Q19" s="4" t="n"/>
      <c r="R19" s="4">
        <f>IF(I19="","",IF(L19&lt;=0,"Sí","No"))</f>
        <v/>
      </c>
      <c r="S19" s="4" t="n"/>
    </row>
    <row r="20">
      <c r="A20" s="7">
        <f>IF(B20="","","FC-"&amp;TEXT(ROW()-2,"0000"))</f>
        <v/>
      </c>
      <c r="B20" s="8" t="n"/>
      <c r="C20" s="8" t="n"/>
      <c r="D20" s="8" t="n"/>
      <c r="E20" s="8" t="n"/>
      <c r="F20" s="8" t="n"/>
      <c r="G20" s="8" t="n"/>
      <c r="H20" s="9" t="n"/>
      <c r="I20" s="9" t="n"/>
      <c r="J20" s="10">
        <f>IF(I20="","",I20*0.5)</f>
        <v/>
      </c>
      <c r="K20" s="9" t="n"/>
      <c r="L20" s="10">
        <f>IF(I20="","",I20-K20)</f>
        <v/>
      </c>
      <c r="M20" s="8" t="n"/>
      <c r="N20" s="8" t="n"/>
      <c r="O20" s="8" t="n"/>
      <c r="P20" s="8" t="n"/>
      <c r="Q20" s="8" t="n"/>
      <c r="R20" s="8">
        <f>IF(I20="","",IF(L20&lt;=0,"Sí","No"))</f>
        <v/>
      </c>
      <c r="S20" s="8" t="n"/>
    </row>
    <row r="21">
      <c r="A21" s="3">
        <f>IF(B21="","","FC-"&amp;TEXT(ROW()-2,"0000"))</f>
        <v/>
      </c>
      <c r="B21" s="4" t="n"/>
      <c r="C21" s="4" t="n"/>
      <c r="D21" s="4" t="n"/>
      <c r="E21" s="4" t="n"/>
      <c r="F21" s="4" t="n"/>
      <c r="G21" s="4" t="n"/>
      <c r="H21" s="5" t="n"/>
      <c r="I21" s="5" t="n"/>
      <c r="J21" s="6">
        <f>IF(I21="","",I21*0.5)</f>
        <v/>
      </c>
      <c r="K21" s="5" t="n"/>
      <c r="L21" s="6">
        <f>IF(I21="","",I21-K21)</f>
        <v/>
      </c>
      <c r="M21" s="4" t="n"/>
      <c r="N21" s="4" t="n"/>
      <c r="O21" s="4" t="n"/>
      <c r="P21" s="4" t="n"/>
      <c r="Q21" s="4" t="n"/>
      <c r="R21" s="4">
        <f>IF(I21="","",IF(L21&lt;=0,"Sí","No"))</f>
        <v/>
      </c>
      <c r="S21" s="4" t="n"/>
    </row>
    <row r="22">
      <c r="A22" s="7">
        <f>IF(B22="","","FC-"&amp;TEXT(ROW()-2,"0000"))</f>
        <v/>
      </c>
      <c r="B22" s="8" t="n"/>
      <c r="C22" s="8" t="n"/>
      <c r="D22" s="8" t="n"/>
      <c r="E22" s="8" t="n"/>
      <c r="F22" s="8" t="n"/>
      <c r="G22" s="8" t="n"/>
      <c r="H22" s="9" t="n"/>
      <c r="I22" s="9" t="n"/>
      <c r="J22" s="10">
        <f>IF(I22="","",I22*0.5)</f>
        <v/>
      </c>
      <c r="K22" s="9" t="n"/>
      <c r="L22" s="10">
        <f>IF(I22="","",I22-K22)</f>
        <v/>
      </c>
      <c r="M22" s="8" t="n"/>
      <c r="N22" s="8" t="n"/>
      <c r="O22" s="8" t="n"/>
      <c r="P22" s="8" t="n"/>
      <c r="Q22" s="8" t="n"/>
      <c r="R22" s="8">
        <f>IF(I22="","",IF(L22&lt;=0,"Sí","No"))</f>
        <v/>
      </c>
      <c r="S22" s="8" t="n"/>
    </row>
    <row r="23">
      <c r="A23" s="3">
        <f>IF(B23="","","FC-"&amp;TEXT(ROW()-2,"0000"))</f>
        <v/>
      </c>
      <c r="B23" s="4" t="n"/>
      <c r="C23" s="4" t="n"/>
      <c r="D23" s="4" t="n"/>
      <c r="E23" s="4" t="n"/>
      <c r="F23" s="4" t="n"/>
      <c r="G23" s="4" t="n"/>
      <c r="H23" s="5" t="n"/>
      <c r="I23" s="5" t="n"/>
      <c r="J23" s="6">
        <f>IF(I23="","",I23*0.5)</f>
        <v/>
      </c>
      <c r="K23" s="5" t="n"/>
      <c r="L23" s="6">
        <f>IF(I23="","",I23-K23)</f>
        <v/>
      </c>
      <c r="M23" s="4" t="n"/>
      <c r="N23" s="4" t="n"/>
      <c r="O23" s="4" t="n"/>
      <c r="P23" s="4" t="n"/>
      <c r="Q23" s="4" t="n"/>
      <c r="R23" s="4">
        <f>IF(I23="","",IF(L23&lt;=0,"Sí","No"))</f>
        <v/>
      </c>
      <c r="S23" s="4" t="n"/>
    </row>
    <row r="24">
      <c r="A24" s="7">
        <f>IF(B24="","","FC-"&amp;TEXT(ROW()-2,"0000"))</f>
        <v/>
      </c>
      <c r="B24" s="8" t="n"/>
      <c r="C24" s="8" t="n"/>
      <c r="D24" s="8" t="n"/>
      <c r="E24" s="8" t="n"/>
      <c r="F24" s="8" t="n"/>
      <c r="G24" s="8" t="n"/>
      <c r="H24" s="9" t="n"/>
      <c r="I24" s="9" t="n"/>
      <c r="J24" s="10">
        <f>IF(I24="","",I24*0.5)</f>
        <v/>
      </c>
      <c r="K24" s="9" t="n"/>
      <c r="L24" s="10">
        <f>IF(I24="","",I24-K24)</f>
        <v/>
      </c>
      <c r="M24" s="8" t="n"/>
      <c r="N24" s="8" t="n"/>
      <c r="O24" s="8" t="n"/>
      <c r="P24" s="8" t="n"/>
      <c r="Q24" s="8" t="n"/>
      <c r="R24" s="8">
        <f>IF(I24="","",IF(L24&lt;=0,"Sí","No"))</f>
        <v/>
      </c>
      <c r="S24" s="8" t="n"/>
    </row>
    <row r="25">
      <c r="A25" s="3">
        <f>IF(B25="","","FC-"&amp;TEXT(ROW()-2,"0000"))</f>
        <v/>
      </c>
      <c r="B25" s="4" t="n"/>
      <c r="C25" s="4" t="n"/>
      <c r="D25" s="4" t="n"/>
      <c r="E25" s="4" t="n"/>
      <c r="F25" s="4" t="n"/>
      <c r="G25" s="4" t="n"/>
      <c r="H25" s="5" t="n"/>
      <c r="I25" s="5" t="n"/>
      <c r="J25" s="6">
        <f>IF(I25="","",I25*0.5)</f>
        <v/>
      </c>
      <c r="K25" s="5" t="n"/>
      <c r="L25" s="6">
        <f>IF(I25="","",I25-K25)</f>
        <v/>
      </c>
      <c r="M25" s="4" t="n"/>
      <c r="N25" s="4" t="n"/>
      <c r="O25" s="4" t="n"/>
      <c r="P25" s="4" t="n"/>
      <c r="Q25" s="4" t="n"/>
      <c r="R25" s="4">
        <f>IF(I25="","",IF(L25&lt;=0,"Sí","No"))</f>
        <v/>
      </c>
      <c r="S25" s="4" t="n"/>
    </row>
    <row r="26">
      <c r="A26" s="7">
        <f>IF(B26="","","FC-"&amp;TEXT(ROW()-2,"0000"))</f>
        <v/>
      </c>
      <c r="B26" s="8" t="n"/>
      <c r="C26" s="8" t="n"/>
      <c r="D26" s="8" t="n"/>
      <c r="E26" s="8" t="n"/>
      <c r="F26" s="8" t="n"/>
      <c r="G26" s="8" t="n"/>
      <c r="H26" s="9" t="n"/>
      <c r="I26" s="9" t="n"/>
      <c r="J26" s="10">
        <f>IF(I26="","",I26*0.5)</f>
        <v/>
      </c>
      <c r="K26" s="9" t="n"/>
      <c r="L26" s="10">
        <f>IF(I26="","",I26-K26)</f>
        <v/>
      </c>
      <c r="M26" s="8" t="n"/>
      <c r="N26" s="8" t="n"/>
      <c r="O26" s="8" t="n"/>
      <c r="P26" s="8" t="n"/>
      <c r="Q26" s="8" t="n"/>
      <c r="R26" s="8">
        <f>IF(I26="","",IF(L26&lt;=0,"Sí","No"))</f>
        <v/>
      </c>
      <c r="S26" s="8" t="n"/>
    </row>
    <row r="27">
      <c r="A27" s="3">
        <f>IF(B27="","","FC-"&amp;TEXT(ROW()-2,"0000"))</f>
        <v/>
      </c>
      <c r="B27" s="4" t="n"/>
      <c r="C27" s="4" t="n"/>
      <c r="D27" s="4" t="n"/>
      <c r="E27" s="4" t="n"/>
      <c r="F27" s="4" t="n"/>
      <c r="G27" s="4" t="n"/>
      <c r="H27" s="5" t="n"/>
      <c r="I27" s="5" t="n"/>
      <c r="J27" s="6">
        <f>IF(I27="","",I27*0.5)</f>
        <v/>
      </c>
      <c r="K27" s="5" t="n"/>
      <c r="L27" s="6">
        <f>IF(I27="","",I27-K27)</f>
        <v/>
      </c>
      <c r="M27" s="4" t="n"/>
      <c r="N27" s="4" t="n"/>
      <c r="O27" s="4" t="n"/>
      <c r="P27" s="4" t="n"/>
      <c r="Q27" s="4" t="n"/>
      <c r="R27" s="4">
        <f>IF(I27="","",IF(L27&lt;=0,"Sí","No"))</f>
        <v/>
      </c>
      <c r="S27" s="4" t="n"/>
    </row>
    <row r="28">
      <c r="A28" s="7">
        <f>IF(B28="","","FC-"&amp;TEXT(ROW()-2,"0000"))</f>
        <v/>
      </c>
      <c r="B28" s="8" t="n"/>
      <c r="C28" s="8" t="n"/>
      <c r="D28" s="8" t="n"/>
      <c r="E28" s="8" t="n"/>
      <c r="F28" s="8" t="n"/>
      <c r="G28" s="8" t="n"/>
      <c r="H28" s="9" t="n"/>
      <c r="I28" s="9" t="n"/>
      <c r="J28" s="10">
        <f>IF(I28="","",I28*0.5)</f>
        <v/>
      </c>
      <c r="K28" s="9" t="n"/>
      <c r="L28" s="10">
        <f>IF(I28="","",I28-K28)</f>
        <v/>
      </c>
      <c r="M28" s="8" t="n"/>
      <c r="N28" s="8" t="n"/>
      <c r="O28" s="8" t="n"/>
      <c r="P28" s="8" t="n"/>
      <c r="Q28" s="8" t="n"/>
      <c r="R28" s="8">
        <f>IF(I28="","",IF(L28&lt;=0,"Sí","No"))</f>
        <v/>
      </c>
      <c r="S28" s="8" t="n"/>
    </row>
    <row r="29">
      <c r="A29" s="3">
        <f>IF(B29="","","FC-"&amp;TEXT(ROW()-2,"0000"))</f>
        <v/>
      </c>
      <c r="B29" s="4" t="n"/>
      <c r="C29" s="4" t="n"/>
      <c r="D29" s="4" t="n"/>
      <c r="E29" s="4" t="n"/>
      <c r="F29" s="4" t="n"/>
      <c r="G29" s="4" t="n"/>
      <c r="H29" s="5" t="n"/>
      <c r="I29" s="5" t="n"/>
      <c r="J29" s="6">
        <f>IF(I29="","",I29*0.5)</f>
        <v/>
      </c>
      <c r="K29" s="5" t="n"/>
      <c r="L29" s="6">
        <f>IF(I29="","",I29-K29)</f>
        <v/>
      </c>
      <c r="M29" s="4" t="n"/>
      <c r="N29" s="4" t="n"/>
      <c r="O29" s="4" t="n"/>
      <c r="P29" s="4" t="n"/>
      <c r="Q29" s="4" t="n"/>
      <c r="R29" s="4">
        <f>IF(I29="","",IF(L29&lt;=0,"Sí","No"))</f>
        <v/>
      </c>
      <c r="S29" s="4" t="n"/>
    </row>
    <row r="30">
      <c r="A30" s="7">
        <f>IF(B30="","","FC-"&amp;TEXT(ROW()-2,"0000"))</f>
        <v/>
      </c>
      <c r="B30" s="8" t="n"/>
      <c r="C30" s="8" t="n"/>
      <c r="D30" s="8" t="n"/>
      <c r="E30" s="8" t="n"/>
      <c r="F30" s="8" t="n"/>
      <c r="G30" s="8" t="n"/>
      <c r="H30" s="9" t="n"/>
      <c r="I30" s="9" t="n"/>
      <c r="J30" s="10">
        <f>IF(I30="","",I30*0.5)</f>
        <v/>
      </c>
      <c r="K30" s="9" t="n"/>
      <c r="L30" s="10">
        <f>IF(I30="","",I30-K30)</f>
        <v/>
      </c>
      <c r="M30" s="8" t="n"/>
      <c r="N30" s="8" t="n"/>
      <c r="O30" s="8" t="n"/>
      <c r="P30" s="8" t="n"/>
      <c r="Q30" s="8" t="n"/>
      <c r="R30" s="8">
        <f>IF(I30="","",IF(L30&lt;=0,"Sí","No"))</f>
        <v/>
      </c>
      <c r="S30" s="8" t="n"/>
    </row>
    <row r="31">
      <c r="A31" s="3">
        <f>IF(B31="","","FC-"&amp;TEXT(ROW()-2,"0000"))</f>
        <v/>
      </c>
      <c r="B31" s="4" t="n"/>
      <c r="C31" s="4" t="n"/>
      <c r="D31" s="4" t="n"/>
      <c r="E31" s="4" t="n"/>
      <c r="F31" s="4" t="n"/>
      <c r="G31" s="4" t="n"/>
      <c r="H31" s="5" t="n"/>
      <c r="I31" s="5" t="n"/>
      <c r="J31" s="6">
        <f>IF(I31="","",I31*0.5)</f>
        <v/>
      </c>
      <c r="K31" s="5" t="n"/>
      <c r="L31" s="6">
        <f>IF(I31="","",I31-K31)</f>
        <v/>
      </c>
      <c r="M31" s="4" t="n"/>
      <c r="N31" s="4" t="n"/>
      <c r="O31" s="4" t="n"/>
      <c r="P31" s="4" t="n"/>
      <c r="Q31" s="4" t="n"/>
      <c r="R31" s="4">
        <f>IF(I31="","",IF(L31&lt;=0,"Sí","No"))</f>
        <v/>
      </c>
      <c r="S31" s="4" t="n"/>
    </row>
    <row r="32">
      <c r="A32" s="7">
        <f>IF(B32="","","FC-"&amp;TEXT(ROW()-2,"0000"))</f>
        <v/>
      </c>
      <c r="B32" s="8" t="n"/>
      <c r="C32" s="8" t="n"/>
      <c r="D32" s="8" t="n"/>
      <c r="E32" s="8" t="n"/>
      <c r="F32" s="8" t="n"/>
      <c r="G32" s="8" t="n"/>
      <c r="H32" s="9" t="n"/>
      <c r="I32" s="9" t="n"/>
      <c r="J32" s="10">
        <f>IF(I32="","",I32*0.5)</f>
        <v/>
      </c>
      <c r="K32" s="9" t="n"/>
      <c r="L32" s="10">
        <f>IF(I32="","",I32-K32)</f>
        <v/>
      </c>
      <c r="M32" s="8" t="n"/>
      <c r="N32" s="8" t="n"/>
      <c r="O32" s="8" t="n"/>
      <c r="P32" s="8" t="n"/>
      <c r="Q32" s="8" t="n"/>
      <c r="R32" s="8">
        <f>IF(I32="","",IF(L32&lt;=0,"Sí","No"))</f>
        <v/>
      </c>
      <c r="S32" s="8" t="n"/>
    </row>
    <row r="33">
      <c r="A33" s="3">
        <f>IF(B33="","","FC-"&amp;TEXT(ROW()-2,"0000"))</f>
        <v/>
      </c>
      <c r="B33" s="4" t="n"/>
      <c r="C33" s="4" t="n"/>
      <c r="D33" s="4" t="n"/>
      <c r="E33" s="4" t="n"/>
      <c r="F33" s="4" t="n"/>
      <c r="G33" s="4" t="n"/>
      <c r="H33" s="5" t="n"/>
      <c r="I33" s="5" t="n"/>
      <c r="J33" s="6">
        <f>IF(I33="","",I33*0.5)</f>
        <v/>
      </c>
      <c r="K33" s="5" t="n"/>
      <c r="L33" s="6">
        <f>IF(I33="","",I33-K33)</f>
        <v/>
      </c>
      <c r="M33" s="4" t="n"/>
      <c r="N33" s="4" t="n"/>
      <c r="O33" s="4" t="n"/>
      <c r="P33" s="4" t="n"/>
      <c r="Q33" s="4" t="n"/>
      <c r="R33" s="4">
        <f>IF(I33="","",IF(L33&lt;=0,"Sí","No"))</f>
        <v/>
      </c>
      <c r="S33" s="4" t="n"/>
    </row>
    <row r="34">
      <c r="A34" s="7">
        <f>IF(B34="","","FC-"&amp;TEXT(ROW()-2,"0000"))</f>
        <v/>
      </c>
      <c r="B34" s="8" t="n"/>
      <c r="C34" s="8" t="n"/>
      <c r="D34" s="8" t="n"/>
      <c r="E34" s="8" t="n"/>
      <c r="F34" s="8" t="n"/>
      <c r="G34" s="8" t="n"/>
      <c r="H34" s="9" t="n"/>
      <c r="I34" s="9" t="n"/>
      <c r="J34" s="10">
        <f>IF(I34="","",I34*0.5)</f>
        <v/>
      </c>
      <c r="K34" s="9" t="n"/>
      <c r="L34" s="10">
        <f>IF(I34="","",I34-K34)</f>
        <v/>
      </c>
      <c r="M34" s="8" t="n"/>
      <c r="N34" s="8" t="n"/>
      <c r="O34" s="8" t="n"/>
      <c r="P34" s="8" t="n"/>
      <c r="Q34" s="8" t="n"/>
      <c r="R34" s="8">
        <f>IF(I34="","",IF(L34&lt;=0,"Sí","No"))</f>
        <v/>
      </c>
      <c r="S34" s="8" t="n"/>
    </row>
    <row r="35">
      <c r="A35" s="3">
        <f>IF(B35="","","FC-"&amp;TEXT(ROW()-2,"0000"))</f>
        <v/>
      </c>
      <c r="B35" s="4" t="n"/>
      <c r="C35" s="4" t="n"/>
      <c r="D35" s="4" t="n"/>
      <c r="E35" s="4" t="n"/>
      <c r="F35" s="4" t="n"/>
      <c r="G35" s="4" t="n"/>
      <c r="H35" s="5" t="n"/>
      <c r="I35" s="5" t="n"/>
      <c r="J35" s="6">
        <f>IF(I35="","",I35*0.5)</f>
        <v/>
      </c>
      <c r="K35" s="5" t="n"/>
      <c r="L35" s="6">
        <f>IF(I35="","",I35-K35)</f>
        <v/>
      </c>
      <c r="M35" s="4" t="n"/>
      <c r="N35" s="4" t="n"/>
      <c r="O35" s="4" t="n"/>
      <c r="P35" s="4" t="n"/>
      <c r="Q35" s="4" t="n"/>
      <c r="R35" s="4">
        <f>IF(I35="","",IF(L35&lt;=0,"Sí","No"))</f>
        <v/>
      </c>
      <c r="S35" s="4" t="n"/>
    </row>
    <row r="36">
      <c r="A36" s="7">
        <f>IF(B36="","","FC-"&amp;TEXT(ROW()-2,"0000"))</f>
        <v/>
      </c>
      <c r="B36" s="8" t="n"/>
      <c r="C36" s="8" t="n"/>
      <c r="D36" s="8" t="n"/>
      <c r="E36" s="8" t="n"/>
      <c r="F36" s="8" t="n"/>
      <c r="G36" s="8" t="n"/>
      <c r="H36" s="9" t="n"/>
      <c r="I36" s="9" t="n"/>
      <c r="J36" s="10">
        <f>IF(I36="","",I36*0.5)</f>
        <v/>
      </c>
      <c r="K36" s="9" t="n"/>
      <c r="L36" s="10">
        <f>IF(I36="","",I36-K36)</f>
        <v/>
      </c>
      <c r="M36" s="8" t="n"/>
      <c r="N36" s="8" t="n"/>
      <c r="O36" s="8" t="n"/>
      <c r="P36" s="8" t="n"/>
      <c r="Q36" s="8" t="n"/>
      <c r="R36" s="8">
        <f>IF(I36="","",IF(L36&lt;=0,"Sí","No"))</f>
        <v/>
      </c>
      <c r="S36" s="8" t="n"/>
    </row>
    <row r="37">
      <c r="A37" s="3">
        <f>IF(B37="","","FC-"&amp;TEXT(ROW()-2,"0000"))</f>
        <v/>
      </c>
      <c r="B37" s="4" t="n"/>
      <c r="C37" s="4" t="n"/>
      <c r="D37" s="4" t="n"/>
      <c r="E37" s="4" t="n"/>
      <c r="F37" s="4" t="n"/>
      <c r="G37" s="4" t="n"/>
      <c r="H37" s="5" t="n"/>
      <c r="I37" s="5" t="n"/>
      <c r="J37" s="6">
        <f>IF(I37="","",I37*0.5)</f>
        <v/>
      </c>
      <c r="K37" s="5" t="n"/>
      <c r="L37" s="6">
        <f>IF(I37="","",I37-K37)</f>
        <v/>
      </c>
      <c r="M37" s="4" t="n"/>
      <c r="N37" s="4" t="n"/>
      <c r="O37" s="4" t="n"/>
      <c r="P37" s="4" t="n"/>
      <c r="Q37" s="4" t="n"/>
      <c r="R37" s="4">
        <f>IF(I37="","",IF(L37&lt;=0,"Sí","No"))</f>
        <v/>
      </c>
      <c r="S37" s="4" t="n"/>
    </row>
    <row r="38">
      <c r="A38" s="7">
        <f>IF(B38="","","FC-"&amp;TEXT(ROW()-2,"0000"))</f>
        <v/>
      </c>
      <c r="B38" s="8" t="n"/>
      <c r="C38" s="8" t="n"/>
      <c r="D38" s="8" t="n"/>
      <c r="E38" s="8" t="n"/>
      <c r="F38" s="8" t="n"/>
      <c r="G38" s="8" t="n"/>
      <c r="H38" s="9" t="n"/>
      <c r="I38" s="9" t="n"/>
      <c r="J38" s="10">
        <f>IF(I38="","",I38*0.5)</f>
        <v/>
      </c>
      <c r="K38" s="9" t="n"/>
      <c r="L38" s="10">
        <f>IF(I38="","",I38-K38)</f>
        <v/>
      </c>
      <c r="M38" s="8" t="n"/>
      <c r="N38" s="8" t="n"/>
      <c r="O38" s="8" t="n"/>
      <c r="P38" s="8" t="n"/>
      <c r="Q38" s="8" t="n"/>
      <c r="R38" s="8">
        <f>IF(I38="","",IF(L38&lt;=0,"Sí","No"))</f>
        <v/>
      </c>
      <c r="S38" s="8" t="n"/>
    </row>
    <row r="39">
      <c r="A39" s="3">
        <f>IF(B39="","","FC-"&amp;TEXT(ROW()-2,"0000"))</f>
        <v/>
      </c>
      <c r="B39" s="4" t="n"/>
      <c r="C39" s="4" t="n"/>
      <c r="D39" s="4" t="n"/>
      <c r="E39" s="4" t="n"/>
      <c r="F39" s="4" t="n"/>
      <c r="G39" s="4" t="n"/>
      <c r="H39" s="5" t="n"/>
      <c r="I39" s="5" t="n"/>
      <c r="J39" s="6">
        <f>IF(I39="","",I39*0.5)</f>
        <v/>
      </c>
      <c r="K39" s="5" t="n"/>
      <c r="L39" s="6">
        <f>IF(I39="","",I39-K39)</f>
        <v/>
      </c>
      <c r="M39" s="4" t="n"/>
      <c r="N39" s="4" t="n"/>
      <c r="O39" s="4" t="n"/>
      <c r="P39" s="4" t="n"/>
      <c r="Q39" s="4" t="n"/>
      <c r="R39" s="4">
        <f>IF(I39="","",IF(L39&lt;=0,"Sí","No"))</f>
        <v/>
      </c>
      <c r="S39" s="4" t="n"/>
    </row>
    <row r="40">
      <c r="A40" s="7">
        <f>IF(B40="","","FC-"&amp;TEXT(ROW()-2,"0000"))</f>
        <v/>
      </c>
      <c r="B40" s="8" t="n"/>
      <c r="C40" s="8" t="n"/>
      <c r="D40" s="8" t="n"/>
      <c r="E40" s="8" t="n"/>
      <c r="F40" s="8" t="n"/>
      <c r="G40" s="8" t="n"/>
      <c r="H40" s="9" t="n"/>
      <c r="I40" s="9" t="n"/>
      <c r="J40" s="10">
        <f>IF(I40="","",I40*0.5)</f>
        <v/>
      </c>
      <c r="K40" s="9" t="n"/>
      <c r="L40" s="10">
        <f>IF(I40="","",I40-K40)</f>
        <v/>
      </c>
      <c r="M40" s="8" t="n"/>
      <c r="N40" s="8" t="n"/>
      <c r="O40" s="8" t="n"/>
      <c r="P40" s="8" t="n"/>
      <c r="Q40" s="8" t="n"/>
      <c r="R40" s="8">
        <f>IF(I40="","",IF(L40&lt;=0,"Sí","No"))</f>
        <v/>
      </c>
      <c r="S40" s="8" t="n"/>
    </row>
    <row r="41">
      <c r="A41" s="3">
        <f>IF(B41="","","FC-"&amp;TEXT(ROW()-2,"0000"))</f>
        <v/>
      </c>
      <c r="B41" s="4" t="n"/>
      <c r="C41" s="4" t="n"/>
      <c r="D41" s="4" t="n"/>
      <c r="E41" s="4" t="n"/>
      <c r="F41" s="4" t="n"/>
      <c r="G41" s="4" t="n"/>
      <c r="H41" s="5" t="n"/>
      <c r="I41" s="5" t="n"/>
      <c r="J41" s="6">
        <f>IF(I41="","",I41*0.5)</f>
        <v/>
      </c>
      <c r="K41" s="5" t="n"/>
      <c r="L41" s="6">
        <f>IF(I41="","",I41-K41)</f>
        <v/>
      </c>
      <c r="M41" s="4" t="n"/>
      <c r="N41" s="4" t="n"/>
      <c r="O41" s="4" t="n"/>
      <c r="P41" s="4" t="n"/>
      <c r="Q41" s="4" t="n"/>
      <c r="R41" s="4">
        <f>IF(I41="","",IF(L41&lt;=0,"Sí","No"))</f>
        <v/>
      </c>
      <c r="S41" s="4" t="n"/>
    </row>
    <row r="42">
      <c r="A42" s="7">
        <f>IF(B42="","","FC-"&amp;TEXT(ROW()-2,"0000"))</f>
        <v/>
      </c>
      <c r="B42" s="8" t="n"/>
      <c r="C42" s="8" t="n"/>
      <c r="D42" s="8" t="n"/>
      <c r="E42" s="8" t="n"/>
      <c r="F42" s="8" t="n"/>
      <c r="G42" s="8" t="n"/>
      <c r="H42" s="9" t="n"/>
      <c r="I42" s="9" t="n"/>
      <c r="J42" s="10">
        <f>IF(I42="","",I42*0.5)</f>
        <v/>
      </c>
      <c r="K42" s="9" t="n"/>
      <c r="L42" s="10">
        <f>IF(I42="","",I42-K42)</f>
        <v/>
      </c>
      <c r="M42" s="8" t="n"/>
      <c r="N42" s="8" t="n"/>
      <c r="O42" s="8" t="n"/>
      <c r="P42" s="8" t="n"/>
      <c r="Q42" s="8" t="n"/>
      <c r="R42" s="8">
        <f>IF(I42="","",IF(L42&lt;=0,"Sí","No"))</f>
        <v/>
      </c>
      <c r="S42" s="8" t="n"/>
    </row>
    <row r="43">
      <c r="A43" s="3">
        <f>IF(B43="","","FC-"&amp;TEXT(ROW()-2,"0000"))</f>
        <v/>
      </c>
      <c r="B43" s="4" t="n"/>
      <c r="C43" s="4" t="n"/>
      <c r="D43" s="4" t="n"/>
      <c r="E43" s="4" t="n"/>
      <c r="F43" s="4" t="n"/>
      <c r="G43" s="4" t="n"/>
      <c r="H43" s="5" t="n"/>
      <c r="I43" s="5" t="n"/>
      <c r="J43" s="6">
        <f>IF(I43="","",I43*0.5)</f>
        <v/>
      </c>
      <c r="K43" s="5" t="n"/>
      <c r="L43" s="6">
        <f>IF(I43="","",I43-K43)</f>
        <v/>
      </c>
      <c r="M43" s="4" t="n"/>
      <c r="N43" s="4" t="n"/>
      <c r="O43" s="4" t="n"/>
      <c r="P43" s="4" t="n"/>
      <c r="Q43" s="4" t="n"/>
      <c r="R43" s="4">
        <f>IF(I43="","",IF(L43&lt;=0,"Sí","No"))</f>
        <v/>
      </c>
      <c r="S43" s="4" t="n"/>
    </row>
    <row r="44">
      <c r="A44" s="7">
        <f>IF(B44="","","FC-"&amp;TEXT(ROW()-2,"0000"))</f>
        <v/>
      </c>
      <c r="B44" s="8" t="n"/>
      <c r="C44" s="8" t="n"/>
      <c r="D44" s="8" t="n"/>
      <c r="E44" s="8" t="n"/>
      <c r="F44" s="8" t="n"/>
      <c r="G44" s="8" t="n"/>
      <c r="H44" s="9" t="n"/>
      <c r="I44" s="9" t="n"/>
      <c r="J44" s="10">
        <f>IF(I44="","",I44*0.5)</f>
        <v/>
      </c>
      <c r="K44" s="9" t="n"/>
      <c r="L44" s="10">
        <f>IF(I44="","",I44-K44)</f>
        <v/>
      </c>
      <c r="M44" s="8" t="n"/>
      <c r="N44" s="8" t="n"/>
      <c r="O44" s="8" t="n"/>
      <c r="P44" s="8" t="n"/>
      <c r="Q44" s="8" t="n"/>
      <c r="R44" s="8">
        <f>IF(I44="","",IF(L44&lt;=0,"Sí","No"))</f>
        <v/>
      </c>
      <c r="S44" s="8" t="n"/>
    </row>
    <row r="45">
      <c r="A45" s="3">
        <f>IF(B45="","","FC-"&amp;TEXT(ROW()-2,"0000"))</f>
        <v/>
      </c>
      <c r="B45" s="4" t="n"/>
      <c r="C45" s="4" t="n"/>
      <c r="D45" s="4" t="n"/>
      <c r="E45" s="4" t="n"/>
      <c r="F45" s="4" t="n"/>
      <c r="G45" s="4" t="n"/>
      <c r="H45" s="5" t="n"/>
      <c r="I45" s="5" t="n"/>
      <c r="J45" s="6">
        <f>IF(I45="","",I45*0.5)</f>
        <v/>
      </c>
      <c r="K45" s="5" t="n"/>
      <c r="L45" s="6">
        <f>IF(I45="","",I45-K45)</f>
        <v/>
      </c>
      <c r="M45" s="4" t="n"/>
      <c r="N45" s="4" t="n"/>
      <c r="O45" s="4" t="n"/>
      <c r="P45" s="4" t="n"/>
      <c r="Q45" s="4" t="n"/>
      <c r="R45" s="4">
        <f>IF(I45="","",IF(L45&lt;=0,"Sí","No"))</f>
        <v/>
      </c>
      <c r="S45" s="4" t="n"/>
    </row>
    <row r="46">
      <c r="A46" s="7">
        <f>IF(B46="","","FC-"&amp;TEXT(ROW()-2,"0000"))</f>
        <v/>
      </c>
      <c r="B46" s="8" t="n"/>
      <c r="C46" s="8" t="n"/>
      <c r="D46" s="8" t="n"/>
      <c r="E46" s="8" t="n"/>
      <c r="F46" s="8" t="n"/>
      <c r="G46" s="8" t="n"/>
      <c r="H46" s="9" t="n"/>
      <c r="I46" s="9" t="n"/>
      <c r="J46" s="10">
        <f>IF(I46="","",I46*0.5)</f>
        <v/>
      </c>
      <c r="K46" s="9" t="n"/>
      <c r="L46" s="10">
        <f>IF(I46="","",I46-K46)</f>
        <v/>
      </c>
      <c r="M46" s="8" t="n"/>
      <c r="N46" s="8" t="n"/>
      <c r="O46" s="8" t="n"/>
      <c r="P46" s="8" t="n"/>
      <c r="Q46" s="8" t="n"/>
      <c r="R46" s="8">
        <f>IF(I46="","",IF(L46&lt;=0,"Sí","No"))</f>
        <v/>
      </c>
      <c r="S46" s="8" t="n"/>
    </row>
    <row r="47">
      <c r="A47" s="3">
        <f>IF(B47="","","FC-"&amp;TEXT(ROW()-2,"0000"))</f>
        <v/>
      </c>
      <c r="B47" s="4" t="n"/>
      <c r="C47" s="4" t="n"/>
      <c r="D47" s="4" t="n"/>
      <c r="E47" s="4" t="n"/>
      <c r="F47" s="4" t="n"/>
      <c r="G47" s="4" t="n"/>
      <c r="H47" s="5" t="n"/>
      <c r="I47" s="5" t="n"/>
      <c r="J47" s="6">
        <f>IF(I47="","",I47*0.5)</f>
        <v/>
      </c>
      <c r="K47" s="5" t="n"/>
      <c r="L47" s="6">
        <f>IF(I47="","",I47-K47)</f>
        <v/>
      </c>
      <c r="M47" s="4" t="n"/>
      <c r="N47" s="4" t="n"/>
      <c r="O47" s="4" t="n"/>
      <c r="P47" s="4" t="n"/>
      <c r="Q47" s="4" t="n"/>
      <c r="R47" s="4">
        <f>IF(I47="","",IF(L47&lt;=0,"Sí","No"))</f>
        <v/>
      </c>
      <c r="S47" s="4" t="n"/>
    </row>
    <row r="48">
      <c r="A48" s="7">
        <f>IF(B48="","","FC-"&amp;TEXT(ROW()-2,"0000"))</f>
        <v/>
      </c>
      <c r="B48" s="8" t="n"/>
      <c r="C48" s="8" t="n"/>
      <c r="D48" s="8" t="n"/>
      <c r="E48" s="8" t="n"/>
      <c r="F48" s="8" t="n"/>
      <c r="G48" s="8" t="n"/>
      <c r="H48" s="9" t="n"/>
      <c r="I48" s="9" t="n"/>
      <c r="J48" s="10">
        <f>IF(I48="","",I48*0.5)</f>
        <v/>
      </c>
      <c r="K48" s="9" t="n"/>
      <c r="L48" s="10">
        <f>IF(I48="","",I48-K48)</f>
        <v/>
      </c>
      <c r="M48" s="8" t="n"/>
      <c r="N48" s="8" t="n"/>
      <c r="O48" s="8" t="n"/>
      <c r="P48" s="8" t="n"/>
      <c r="Q48" s="8" t="n"/>
      <c r="R48" s="8">
        <f>IF(I48="","",IF(L48&lt;=0,"Sí","No"))</f>
        <v/>
      </c>
      <c r="S48" s="8" t="n"/>
    </row>
    <row r="49">
      <c r="A49" s="3">
        <f>IF(B49="","","FC-"&amp;TEXT(ROW()-2,"0000"))</f>
        <v/>
      </c>
      <c r="B49" s="4" t="n"/>
      <c r="C49" s="4" t="n"/>
      <c r="D49" s="4" t="n"/>
      <c r="E49" s="4" t="n"/>
      <c r="F49" s="4" t="n"/>
      <c r="G49" s="4" t="n"/>
      <c r="H49" s="5" t="n"/>
      <c r="I49" s="5" t="n"/>
      <c r="J49" s="6">
        <f>IF(I49="","",I49*0.5)</f>
        <v/>
      </c>
      <c r="K49" s="5" t="n"/>
      <c r="L49" s="6">
        <f>IF(I49="","",I49-K49)</f>
        <v/>
      </c>
      <c r="M49" s="4" t="n"/>
      <c r="N49" s="4" t="n"/>
      <c r="O49" s="4" t="n"/>
      <c r="P49" s="4" t="n"/>
      <c r="Q49" s="4" t="n"/>
      <c r="R49" s="4">
        <f>IF(I49="","",IF(L49&lt;=0,"Sí","No"))</f>
        <v/>
      </c>
      <c r="S49" s="4" t="n"/>
    </row>
    <row r="50">
      <c r="A50" s="7">
        <f>IF(B50="","","FC-"&amp;TEXT(ROW()-2,"0000"))</f>
        <v/>
      </c>
      <c r="B50" s="8" t="n"/>
      <c r="C50" s="8" t="n"/>
      <c r="D50" s="8" t="n"/>
      <c r="E50" s="8" t="n"/>
      <c r="F50" s="8" t="n"/>
      <c r="G50" s="8" t="n"/>
      <c r="H50" s="9" t="n"/>
      <c r="I50" s="9" t="n"/>
      <c r="J50" s="10">
        <f>IF(I50="","",I50*0.5)</f>
        <v/>
      </c>
      <c r="K50" s="9" t="n"/>
      <c r="L50" s="10">
        <f>IF(I50="","",I50-K50)</f>
        <v/>
      </c>
      <c r="M50" s="8" t="n"/>
      <c r="N50" s="8" t="n"/>
      <c r="O50" s="8" t="n"/>
      <c r="P50" s="8" t="n"/>
      <c r="Q50" s="8" t="n"/>
      <c r="R50" s="8">
        <f>IF(I50="","",IF(L50&lt;=0,"Sí","No"))</f>
        <v/>
      </c>
      <c r="S50" s="8" t="n"/>
    </row>
    <row r="51">
      <c r="A51" s="3">
        <f>IF(B51="","","FC-"&amp;TEXT(ROW()-2,"0000"))</f>
        <v/>
      </c>
      <c r="B51" s="4" t="n"/>
      <c r="C51" s="4" t="n"/>
      <c r="D51" s="4" t="n"/>
      <c r="E51" s="4" t="n"/>
      <c r="F51" s="4" t="n"/>
      <c r="G51" s="4" t="n"/>
      <c r="H51" s="5" t="n"/>
      <c r="I51" s="5" t="n"/>
      <c r="J51" s="6">
        <f>IF(I51="","",I51*0.5)</f>
        <v/>
      </c>
      <c r="K51" s="5" t="n"/>
      <c r="L51" s="6">
        <f>IF(I51="","",I51-K51)</f>
        <v/>
      </c>
      <c r="M51" s="4" t="n"/>
      <c r="N51" s="4" t="n"/>
      <c r="O51" s="4" t="n"/>
      <c r="P51" s="4" t="n"/>
      <c r="Q51" s="4" t="n"/>
      <c r="R51" s="4">
        <f>IF(I51="","",IF(L51&lt;=0,"Sí","No"))</f>
        <v/>
      </c>
      <c r="S51" s="4" t="n"/>
    </row>
    <row r="52">
      <c r="A52" s="7">
        <f>IF(B52="","","FC-"&amp;TEXT(ROW()-2,"0000"))</f>
        <v/>
      </c>
      <c r="B52" s="8" t="n"/>
      <c r="C52" s="8" t="n"/>
      <c r="D52" s="8" t="n"/>
      <c r="E52" s="8" t="n"/>
      <c r="F52" s="8" t="n"/>
      <c r="G52" s="8" t="n"/>
      <c r="H52" s="9" t="n"/>
      <c r="I52" s="9" t="n"/>
      <c r="J52" s="10">
        <f>IF(I52="","",I52*0.5)</f>
        <v/>
      </c>
      <c r="K52" s="9" t="n"/>
      <c r="L52" s="10">
        <f>IF(I52="","",I52-K52)</f>
        <v/>
      </c>
      <c r="M52" s="8" t="n"/>
      <c r="N52" s="8" t="n"/>
      <c r="O52" s="8" t="n"/>
      <c r="P52" s="8" t="n"/>
      <c r="Q52" s="8" t="n"/>
      <c r="R52" s="8">
        <f>IF(I52="","",IF(L52&lt;=0,"Sí","No"))</f>
        <v/>
      </c>
      <c r="S52" s="8" t="n"/>
    </row>
    <row r="53">
      <c r="A53" s="3">
        <f>IF(B53="","","FC-"&amp;TEXT(ROW()-2,"0000"))</f>
        <v/>
      </c>
      <c r="B53" s="4" t="n"/>
      <c r="C53" s="4" t="n"/>
      <c r="D53" s="4" t="n"/>
      <c r="E53" s="4" t="n"/>
      <c r="F53" s="4" t="n"/>
      <c r="G53" s="4" t="n"/>
      <c r="H53" s="5" t="n"/>
      <c r="I53" s="5" t="n"/>
      <c r="J53" s="6">
        <f>IF(I53="","",I53*0.5)</f>
        <v/>
      </c>
      <c r="K53" s="5" t="n"/>
      <c r="L53" s="6">
        <f>IF(I53="","",I53-K53)</f>
        <v/>
      </c>
      <c r="M53" s="4" t="n"/>
      <c r="N53" s="4" t="n"/>
      <c r="O53" s="4" t="n"/>
      <c r="P53" s="4" t="n"/>
      <c r="Q53" s="4" t="n"/>
      <c r="R53" s="4">
        <f>IF(I53="","",IF(L53&lt;=0,"Sí","No"))</f>
        <v/>
      </c>
      <c r="S53" s="4" t="n"/>
    </row>
    <row r="54">
      <c r="A54" s="7">
        <f>IF(B54="","","FC-"&amp;TEXT(ROW()-2,"0000"))</f>
        <v/>
      </c>
      <c r="B54" s="8" t="n"/>
      <c r="C54" s="8" t="n"/>
      <c r="D54" s="8" t="n"/>
      <c r="E54" s="8" t="n"/>
      <c r="F54" s="8" t="n"/>
      <c r="G54" s="8" t="n"/>
      <c r="H54" s="9" t="n"/>
      <c r="I54" s="9" t="n"/>
      <c r="J54" s="10">
        <f>IF(I54="","",I54*0.5)</f>
        <v/>
      </c>
      <c r="K54" s="9" t="n"/>
      <c r="L54" s="10">
        <f>IF(I54="","",I54-K54)</f>
        <v/>
      </c>
      <c r="M54" s="8" t="n"/>
      <c r="N54" s="8" t="n"/>
      <c r="O54" s="8" t="n"/>
      <c r="P54" s="8" t="n"/>
      <c r="Q54" s="8" t="n"/>
      <c r="R54" s="8">
        <f>IF(I54="","",IF(L54&lt;=0,"Sí","No"))</f>
        <v/>
      </c>
      <c r="S54" s="8" t="n"/>
    </row>
    <row r="55">
      <c r="A55" s="3">
        <f>IF(B55="","","FC-"&amp;TEXT(ROW()-2,"0000"))</f>
        <v/>
      </c>
      <c r="B55" s="4" t="n"/>
      <c r="C55" s="4" t="n"/>
      <c r="D55" s="4" t="n"/>
      <c r="E55" s="4" t="n"/>
      <c r="F55" s="4" t="n"/>
      <c r="G55" s="4" t="n"/>
      <c r="H55" s="5" t="n"/>
      <c r="I55" s="5" t="n"/>
      <c r="J55" s="6">
        <f>IF(I55="","",I55*0.5)</f>
        <v/>
      </c>
      <c r="K55" s="5" t="n"/>
      <c r="L55" s="6">
        <f>IF(I55="","",I55-K55)</f>
        <v/>
      </c>
      <c r="M55" s="4" t="n"/>
      <c r="N55" s="4" t="n"/>
      <c r="O55" s="4" t="n"/>
      <c r="P55" s="4" t="n"/>
      <c r="Q55" s="4" t="n"/>
      <c r="R55" s="4">
        <f>IF(I55="","",IF(L55&lt;=0,"Sí","No"))</f>
        <v/>
      </c>
      <c r="S55" s="4" t="n"/>
    </row>
    <row r="56">
      <c r="A56" s="7">
        <f>IF(B56="","","FC-"&amp;TEXT(ROW()-2,"0000"))</f>
        <v/>
      </c>
      <c r="B56" s="8" t="n"/>
      <c r="C56" s="8" t="n"/>
      <c r="D56" s="8" t="n"/>
      <c r="E56" s="8" t="n"/>
      <c r="F56" s="8" t="n"/>
      <c r="G56" s="8" t="n"/>
      <c r="H56" s="9" t="n"/>
      <c r="I56" s="9" t="n"/>
      <c r="J56" s="10">
        <f>IF(I56="","",I56*0.5)</f>
        <v/>
      </c>
      <c r="K56" s="9" t="n"/>
      <c r="L56" s="10">
        <f>IF(I56="","",I56-K56)</f>
        <v/>
      </c>
      <c r="M56" s="8" t="n"/>
      <c r="N56" s="8" t="n"/>
      <c r="O56" s="8" t="n"/>
      <c r="P56" s="8" t="n"/>
      <c r="Q56" s="8" t="n"/>
      <c r="R56" s="8">
        <f>IF(I56="","",IF(L56&lt;=0,"Sí","No"))</f>
        <v/>
      </c>
      <c r="S56" s="8" t="n"/>
    </row>
    <row r="57">
      <c r="A57" s="3">
        <f>IF(B57="","","FC-"&amp;TEXT(ROW()-2,"0000"))</f>
        <v/>
      </c>
      <c r="B57" s="4" t="n"/>
      <c r="C57" s="4" t="n"/>
      <c r="D57" s="4" t="n"/>
      <c r="E57" s="4" t="n"/>
      <c r="F57" s="4" t="n"/>
      <c r="G57" s="4" t="n"/>
      <c r="H57" s="5" t="n"/>
      <c r="I57" s="5" t="n"/>
      <c r="J57" s="6">
        <f>IF(I57="","",I57*0.5)</f>
        <v/>
      </c>
      <c r="K57" s="5" t="n"/>
      <c r="L57" s="6">
        <f>IF(I57="","",I57-K57)</f>
        <v/>
      </c>
      <c r="M57" s="4" t="n"/>
      <c r="N57" s="4" t="n"/>
      <c r="O57" s="4" t="n"/>
      <c r="P57" s="4" t="n"/>
      <c r="Q57" s="4" t="n"/>
      <c r="R57" s="4">
        <f>IF(I57="","",IF(L57&lt;=0,"Sí","No"))</f>
        <v/>
      </c>
      <c r="S57" s="4" t="n"/>
    </row>
    <row r="58">
      <c r="A58" s="7">
        <f>IF(B58="","","FC-"&amp;TEXT(ROW()-2,"0000"))</f>
        <v/>
      </c>
      <c r="B58" s="8" t="n"/>
      <c r="C58" s="8" t="n"/>
      <c r="D58" s="8" t="n"/>
      <c r="E58" s="8" t="n"/>
      <c r="F58" s="8" t="n"/>
      <c r="G58" s="8" t="n"/>
      <c r="H58" s="9" t="n"/>
      <c r="I58" s="9" t="n"/>
      <c r="J58" s="10">
        <f>IF(I58="","",I58*0.5)</f>
        <v/>
      </c>
      <c r="K58" s="9" t="n"/>
      <c r="L58" s="10">
        <f>IF(I58="","",I58-K58)</f>
        <v/>
      </c>
      <c r="M58" s="8" t="n"/>
      <c r="N58" s="8" t="n"/>
      <c r="O58" s="8" t="n"/>
      <c r="P58" s="8" t="n"/>
      <c r="Q58" s="8" t="n"/>
      <c r="R58" s="8">
        <f>IF(I58="","",IF(L58&lt;=0,"Sí","No"))</f>
        <v/>
      </c>
      <c r="S58" s="8" t="n"/>
    </row>
    <row r="59">
      <c r="A59" s="3">
        <f>IF(B59="","","FC-"&amp;TEXT(ROW()-2,"0000"))</f>
        <v/>
      </c>
      <c r="B59" s="4" t="n"/>
      <c r="C59" s="4" t="n"/>
      <c r="D59" s="4" t="n"/>
      <c r="E59" s="4" t="n"/>
      <c r="F59" s="4" t="n"/>
      <c r="G59" s="4" t="n"/>
      <c r="H59" s="5" t="n"/>
      <c r="I59" s="5" t="n"/>
      <c r="J59" s="6">
        <f>IF(I59="","",I59*0.5)</f>
        <v/>
      </c>
      <c r="K59" s="5" t="n"/>
      <c r="L59" s="6">
        <f>IF(I59="","",I59-K59)</f>
        <v/>
      </c>
      <c r="M59" s="4" t="n"/>
      <c r="N59" s="4" t="n"/>
      <c r="O59" s="4" t="n"/>
      <c r="P59" s="4" t="n"/>
      <c r="Q59" s="4" t="n"/>
      <c r="R59" s="4">
        <f>IF(I59="","",IF(L59&lt;=0,"Sí","No"))</f>
        <v/>
      </c>
      <c r="S59" s="4" t="n"/>
    </row>
    <row r="60">
      <c r="A60" s="7">
        <f>IF(B60="","","FC-"&amp;TEXT(ROW()-2,"0000"))</f>
        <v/>
      </c>
      <c r="B60" s="8" t="n"/>
      <c r="C60" s="8" t="n"/>
      <c r="D60" s="8" t="n"/>
      <c r="E60" s="8" t="n"/>
      <c r="F60" s="8" t="n"/>
      <c r="G60" s="8" t="n"/>
      <c r="H60" s="9" t="n"/>
      <c r="I60" s="9" t="n"/>
      <c r="J60" s="10">
        <f>IF(I60="","",I60*0.5)</f>
        <v/>
      </c>
      <c r="K60" s="9" t="n"/>
      <c r="L60" s="10">
        <f>IF(I60="","",I60-K60)</f>
        <v/>
      </c>
      <c r="M60" s="8" t="n"/>
      <c r="N60" s="8" t="n"/>
      <c r="O60" s="8" t="n"/>
      <c r="P60" s="8" t="n"/>
      <c r="Q60" s="8" t="n"/>
      <c r="R60" s="8">
        <f>IF(I60="","",IF(L60&lt;=0,"Sí","No"))</f>
        <v/>
      </c>
      <c r="S60" s="8" t="n"/>
    </row>
    <row r="61">
      <c r="A61" s="3">
        <f>IF(B61="","","FC-"&amp;TEXT(ROW()-2,"0000"))</f>
        <v/>
      </c>
      <c r="B61" s="4" t="n"/>
      <c r="C61" s="4" t="n"/>
      <c r="D61" s="4" t="n"/>
      <c r="E61" s="4" t="n"/>
      <c r="F61" s="4" t="n"/>
      <c r="G61" s="4" t="n"/>
      <c r="H61" s="5" t="n"/>
      <c r="I61" s="5" t="n"/>
      <c r="J61" s="6">
        <f>IF(I61="","",I61*0.5)</f>
        <v/>
      </c>
      <c r="K61" s="5" t="n"/>
      <c r="L61" s="6">
        <f>IF(I61="","",I61-K61)</f>
        <v/>
      </c>
      <c r="M61" s="4" t="n"/>
      <c r="N61" s="4" t="n"/>
      <c r="O61" s="4" t="n"/>
      <c r="P61" s="4" t="n"/>
      <c r="Q61" s="4" t="n"/>
      <c r="R61" s="4">
        <f>IF(I61="","",IF(L61&lt;=0,"Sí","No"))</f>
        <v/>
      </c>
      <c r="S61" s="4" t="n"/>
    </row>
    <row r="62">
      <c r="A62" s="7">
        <f>IF(B62="","","FC-"&amp;TEXT(ROW()-2,"0000"))</f>
        <v/>
      </c>
      <c r="B62" s="8" t="n"/>
      <c r="C62" s="8" t="n"/>
      <c r="D62" s="8" t="n"/>
      <c r="E62" s="8" t="n"/>
      <c r="F62" s="8" t="n"/>
      <c r="G62" s="8" t="n"/>
      <c r="H62" s="9" t="n"/>
      <c r="I62" s="9" t="n"/>
      <c r="J62" s="10">
        <f>IF(I62="","",I62*0.5)</f>
        <v/>
      </c>
      <c r="K62" s="9" t="n"/>
      <c r="L62" s="10">
        <f>IF(I62="","",I62-K62)</f>
        <v/>
      </c>
      <c r="M62" s="8" t="n"/>
      <c r="N62" s="8" t="n"/>
      <c r="O62" s="8" t="n"/>
      <c r="P62" s="8" t="n"/>
      <c r="Q62" s="8" t="n"/>
      <c r="R62" s="8">
        <f>IF(I62="","",IF(L62&lt;=0,"Sí","No"))</f>
        <v/>
      </c>
      <c r="S62" s="8" t="n"/>
    </row>
    <row r="63">
      <c r="A63" s="3">
        <f>IF(B63="","","FC-"&amp;TEXT(ROW()-2,"0000"))</f>
        <v/>
      </c>
      <c r="B63" s="4" t="n"/>
      <c r="C63" s="4" t="n"/>
      <c r="D63" s="4" t="n"/>
      <c r="E63" s="4" t="n"/>
      <c r="F63" s="4" t="n"/>
      <c r="G63" s="4" t="n"/>
      <c r="H63" s="5" t="n"/>
      <c r="I63" s="5" t="n"/>
      <c r="J63" s="6">
        <f>IF(I63="","",I63*0.5)</f>
        <v/>
      </c>
      <c r="K63" s="5" t="n"/>
      <c r="L63" s="6">
        <f>IF(I63="","",I63-K63)</f>
        <v/>
      </c>
      <c r="M63" s="4" t="n"/>
      <c r="N63" s="4" t="n"/>
      <c r="O63" s="4" t="n"/>
      <c r="P63" s="4" t="n"/>
      <c r="Q63" s="4" t="n"/>
      <c r="R63" s="4">
        <f>IF(I63="","",IF(L63&lt;=0,"Sí","No"))</f>
        <v/>
      </c>
      <c r="S63" s="4" t="n"/>
    </row>
    <row r="64">
      <c r="A64" s="7">
        <f>IF(B64="","","FC-"&amp;TEXT(ROW()-2,"0000"))</f>
        <v/>
      </c>
      <c r="B64" s="8" t="n"/>
      <c r="C64" s="8" t="n"/>
      <c r="D64" s="8" t="n"/>
      <c r="E64" s="8" t="n"/>
      <c r="F64" s="8" t="n"/>
      <c r="G64" s="8" t="n"/>
      <c r="H64" s="9" t="n"/>
      <c r="I64" s="9" t="n"/>
      <c r="J64" s="10">
        <f>IF(I64="","",I64*0.5)</f>
        <v/>
      </c>
      <c r="K64" s="9" t="n"/>
      <c r="L64" s="10">
        <f>IF(I64="","",I64-K64)</f>
        <v/>
      </c>
      <c r="M64" s="8" t="n"/>
      <c r="N64" s="8" t="n"/>
      <c r="O64" s="8" t="n"/>
      <c r="P64" s="8" t="n"/>
      <c r="Q64" s="8" t="n"/>
      <c r="R64" s="8">
        <f>IF(I64="","",IF(L64&lt;=0,"Sí","No"))</f>
        <v/>
      </c>
      <c r="S64" s="8" t="n"/>
    </row>
    <row r="65">
      <c r="A65" s="3">
        <f>IF(B65="","","FC-"&amp;TEXT(ROW()-2,"0000"))</f>
        <v/>
      </c>
      <c r="B65" s="4" t="n"/>
      <c r="C65" s="4" t="n"/>
      <c r="D65" s="4" t="n"/>
      <c r="E65" s="4" t="n"/>
      <c r="F65" s="4" t="n"/>
      <c r="G65" s="4" t="n"/>
      <c r="H65" s="5" t="n"/>
      <c r="I65" s="5" t="n"/>
      <c r="J65" s="6">
        <f>IF(I65="","",I65*0.5)</f>
        <v/>
      </c>
      <c r="K65" s="5" t="n"/>
      <c r="L65" s="6">
        <f>IF(I65="","",I65-K65)</f>
        <v/>
      </c>
      <c r="M65" s="4" t="n"/>
      <c r="N65" s="4" t="n"/>
      <c r="O65" s="4" t="n"/>
      <c r="P65" s="4" t="n"/>
      <c r="Q65" s="4" t="n"/>
      <c r="R65" s="4">
        <f>IF(I65="","",IF(L65&lt;=0,"Sí","No"))</f>
        <v/>
      </c>
      <c r="S65" s="4" t="n"/>
    </row>
    <row r="66">
      <c r="A66" s="7">
        <f>IF(B66="","","FC-"&amp;TEXT(ROW()-2,"0000"))</f>
        <v/>
      </c>
      <c r="B66" s="8" t="n"/>
      <c r="C66" s="8" t="n"/>
      <c r="D66" s="8" t="n"/>
      <c r="E66" s="8" t="n"/>
      <c r="F66" s="8" t="n"/>
      <c r="G66" s="8" t="n"/>
      <c r="H66" s="9" t="n"/>
      <c r="I66" s="9" t="n"/>
      <c r="J66" s="10">
        <f>IF(I66="","",I66*0.5)</f>
        <v/>
      </c>
      <c r="K66" s="9" t="n"/>
      <c r="L66" s="10">
        <f>IF(I66="","",I66-K66)</f>
        <v/>
      </c>
      <c r="M66" s="8" t="n"/>
      <c r="N66" s="8" t="n"/>
      <c r="O66" s="8" t="n"/>
      <c r="P66" s="8" t="n"/>
      <c r="Q66" s="8" t="n"/>
      <c r="R66" s="8">
        <f>IF(I66="","",IF(L66&lt;=0,"Sí","No"))</f>
        <v/>
      </c>
      <c r="S66" s="8" t="n"/>
    </row>
    <row r="67">
      <c r="A67" s="3">
        <f>IF(B67="","","FC-"&amp;TEXT(ROW()-2,"0000"))</f>
        <v/>
      </c>
      <c r="B67" s="4" t="n"/>
      <c r="C67" s="4" t="n"/>
      <c r="D67" s="4" t="n"/>
      <c r="E67" s="4" t="n"/>
      <c r="F67" s="4" t="n"/>
      <c r="G67" s="4" t="n"/>
      <c r="H67" s="5" t="n"/>
      <c r="I67" s="5" t="n"/>
      <c r="J67" s="6">
        <f>IF(I67="","",I67*0.5)</f>
        <v/>
      </c>
      <c r="K67" s="5" t="n"/>
      <c r="L67" s="6">
        <f>IF(I67="","",I67-K67)</f>
        <v/>
      </c>
      <c r="M67" s="4" t="n"/>
      <c r="N67" s="4" t="n"/>
      <c r="O67" s="4" t="n"/>
      <c r="P67" s="4" t="n"/>
      <c r="Q67" s="4" t="n"/>
      <c r="R67" s="4">
        <f>IF(I67="","",IF(L67&lt;=0,"Sí","No"))</f>
        <v/>
      </c>
      <c r="S67" s="4" t="n"/>
    </row>
    <row r="68">
      <c r="A68" s="7">
        <f>IF(B68="","","FC-"&amp;TEXT(ROW()-2,"0000"))</f>
        <v/>
      </c>
      <c r="B68" s="8" t="n"/>
      <c r="C68" s="8" t="n"/>
      <c r="D68" s="8" t="n"/>
      <c r="E68" s="8" t="n"/>
      <c r="F68" s="8" t="n"/>
      <c r="G68" s="8" t="n"/>
      <c r="H68" s="9" t="n"/>
      <c r="I68" s="9" t="n"/>
      <c r="J68" s="10">
        <f>IF(I68="","",I68*0.5)</f>
        <v/>
      </c>
      <c r="K68" s="9" t="n"/>
      <c r="L68" s="10">
        <f>IF(I68="","",I68-K68)</f>
        <v/>
      </c>
      <c r="M68" s="8" t="n"/>
      <c r="N68" s="8" t="n"/>
      <c r="O68" s="8" t="n"/>
      <c r="P68" s="8" t="n"/>
      <c r="Q68" s="8" t="n"/>
      <c r="R68" s="8">
        <f>IF(I68="","",IF(L68&lt;=0,"Sí","No"))</f>
        <v/>
      </c>
      <c r="S68" s="8" t="n"/>
    </row>
    <row r="69">
      <c r="A69" s="3">
        <f>IF(B69="","","FC-"&amp;TEXT(ROW()-2,"0000"))</f>
        <v/>
      </c>
      <c r="B69" s="4" t="n"/>
      <c r="C69" s="4" t="n"/>
      <c r="D69" s="4" t="n"/>
      <c r="E69" s="4" t="n"/>
      <c r="F69" s="4" t="n"/>
      <c r="G69" s="4" t="n"/>
      <c r="H69" s="5" t="n"/>
      <c r="I69" s="5" t="n"/>
      <c r="J69" s="6">
        <f>IF(I69="","",I69*0.5)</f>
        <v/>
      </c>
      <c r="K69" s="5" t="n"/>
      <c r="L69" s="6">
        <f>IF(I69="","",I69-K69)</f>
        <v/>
      </c>
      <c r="M69" s="4" t="n"/>
      <c r="N69" s="4" t="n"/>
      <c r="O69" s="4" t="n"/>
      <c r="P69" s="4" t="n"/>
      <c r="Q69" s="4" t="n"/>
      <c r="R69" s="4">
        <f>IF(I69="","",IF(L69&lt;=0,"Sí","No"))</f>
        <v/>
      </c>
      <c r="S69" s="4" t="n"/>
    </row>
    <row r="70">
      <c r="A70" s="7">
        <f>IF(B70="","","FC-"&amp;TEXT(ROW()-2,"0000"))</f>
        <v/>
      </c>
      <c r="B70" s="8" t="n"/>
      <c r="C70" s="8" t="n"/>
      <c r="D70" s="8" t="n"/>
      <c r="E70" s="8" t="n"/>
      <c r="F70" s="8" t="n"/>
      <c r="G70" s="8" t="n"/>
      <c r="H70" s="9" t="n"/>
      <c r="I70" s="9" t="n"/>
      <c r="J70" s="10">
        <f>IF(I70="","",I70*0.5)</f>
        <v/>
      </c>
      <c r="K70" s="9" t="n"/>
      <c r="L70" s="10">
        <f>IF(I70="","",I70-K70)</f>
        <v/>
      </c>
      <c r="M70" s="8" t="n"/>
      <c r="N70" s="8" t="n"/>
      <c r="O70" s="8" t="n"/>
      <c r="P70" s="8" t="n"/>
      <c r="Q70" s="8" t="n"/>
      <c r="R70" s="8">
        <f>IF(I70="","",IF(L70&lt;=0,"Sí","No"))</f>
        <v/>
      </c>
      <c r="S70" s="8" t="n"/>
    </row>
    <row r="71">
      <c r="A71" s="3">
        <f>IF(B71="","","FC-"&amp;TEXT(ROW()-2,"0000"))</f>
        <v/>
      </c>
      <c r="B71" s="4" t="n"/>
      <c r="C71" s="4" t="n"/>
      <c r="D71" s="4" t="n"/>
      <c r="E71" s="4" t="n"/>
      <c r="F71" s="4" t="n"/>
      <c r="G71" s="4" t="n"/>
      <c r="H71" s="5" t="n"/>
      <c r="I71" s="5" t="n"/>
      <c r="J71" s="6">
        <f>IF(I71="","",I71*0.5)</f>
        <v/>
      </c>
      <c r="K71" s="5" t="n"/>
      <c r="L71" s="6">
        <f>IF(I71="","",I71-K71)</f>
        <v/>
      </c>
      <c r="M71" s="4" t="n"/>
      <c r="N71" s="4" t="n"/>
      <c r="O71" s="4" t="n"/>
      <c r="P71" s="4" t="n"/>
      <c r="Q71" s="4" t="n"/>
      <c r="R71" s="4">
        <f>IF(I71="","",IF(L71&lt;=0,"Sí","No"))</f>
        <v/>
      </c>
      <c r="S71" s="4" t="n"/>
    </row>
    <row r="72">
      <c r="A72" s="7">
        <f>IF(B72="","","FC-"&amp;TEXT(ROW()-2,"0000"))</f>
        <v/>
      </c>
      <c r="B72" s="8" t="n"/>
      <c r="C72" s="8" t="n"/>
      <c r="D72" s="8" t="n"/>
      <c r="E72" s="8" t="n"/>
      <c r="F72" s="8" t="n"/>
      <c r="G72" s="8" t="n"/>
      <c r="H72" s="9" t="n"/>
      <c r="I72" s="9" t="n"/>
      <c r="J72" s="10">
        <f>IF(I72="","",I72*0.5)</f>
        <v/>
      </c>
      <c r="K72" s="9" t="n"/>
      <c r="L72" s="10">
        <f>IF(I72="","",I72-K72)</f>
        <v/>
      </c>
      <c r="M72" s="8" t="n"/>
      <c r="N72" s="8" t="n"/>
      <c r="O72" s="8" t="n"/>
      <c r="P72" s="8" t="n"/>
      <c r="Q72" s="8" t="n"/>
      <c r="R72" s="8">
        <f>IF(I72="","",IF(L72&lt;=0,"Sí","No"))</f>
        <v/>
      </c>
      <c r="S72" s="8" t="n"/>
    </row>
    <row r="73">
      <c r="A73" s="3">
        <f>IF(B73="","","FC-"&amp;TEXT(ROW()-2,"0000"))</f>
        <v/>
      </c>
      <c r="B73" s="4" t="n"/>
      <c r="C73" s="4" t="n"/>
      <c r="D73" s="4" t="n"/>
      <c r="E73" s="4" t="n"/>
      <c r="F73" s="4" t="n"/>
      <c r="G73" s="4" t="n"/>
      <c r="H73" s="5" t="n"/>
      <c r="I73" s="5" t="n"/>
      <c r="J73" s="6">
        <f>IF(I73="","",I73*0.5)</f>
        <v/>
      </c>
      <c r="K73" s="5" t="n"/>
      <c r="L73" s="6">
        <f>IF(I73="","",I73-K73)</f>
        <v/>
      </c>
      <c r="M73" s="4" t="n"/>
      <c r="N73" s="4" t="n"/>
      <c r="O73" s="4" t="n"/>
      <c r="P73" s="4" t="n"/>
      <c r="Q73" s="4" t="n"/>
      <c r="R73" s="4">
        <f>IF(I73="","",IF(L73&lt;=0,"Sí","No"))</f>
        <v/>
      </c>
      <c r="S73" s="4" t="n"/>
    </row>
    <row r="74">
      <c r="A74" s="7">
        <f>IF(B74="","","FC-"&amp;TEXT(ROW()-2,"0000"))</f>
        <v/>
      </c>
      <c r="B74" s="8" t="n"/>
      <c r="C74" s="8" t="n"/>
      <c r="D74" s="8" t="n"/>
      <c r="E74" s="8" t="n"/>
      <c r="F74" s="8" t="n"/>
      <c r="G74" s="8" t="n"/>
      <c r="H74" s="9" t="n"/>
      <c r="I74" s="9" t="n"/>
      <c r="J74" s="10">
        <f>IF(I74="","",I74*0.5)</f>
        <v/>
      </c>
      <c r="K74" s="9" t="n"/>
      <c r="L74" s="10">
        <f>IF(I74="","",I74-K74)</f>
        <v/>
      </c>
      <c r="M74" s="8" t="n"/>
      <c r="N74" s="8" t="n"/>
      <c r="O74" s="8" t="n"/>
      <c r="P74" s="8" t="n"/>
      <c r="Q74" s="8" t="n"/>
      <c r="R74" s="8">
        <f>IF(I74="","",IF(L74&lt;=0,"Sí","No"))</f>
        <v/>
      </c>
      <c r="S74" s="8" t="n"/>
    </row>
    <row r="75">
      <c r="A75" s="3">
        <f>IF(B75="","","FC-"&amp;TEXT(ROW()-2,"0000"))</f>
        <v/>
      </c>
      <c r="B75" s="4" t="n"/>
      <c r="C75" s="4" t="n"/>
      <c r="D75" s="4" t="n"/>
      <c r="E75" s="4" t="n"/>
      <c r="F75" s="4" t="n"/>
      <c r="G75" s="4" t="n"/>
      <c r="H75" s="5" t="n"/>
      <c r="I75" s="5" t="n"/>
      <c r="J75" s="6">
        <f>IF(I75="","",I75*0.5)</f>
        <v/>
      </c>
      <c r="K75" s="5" t="n"/>
      <c r="L75" s="6">
        <f>IF(I75="","",I75-K75)</f>
        <v/>
      </c>
      <c r="M75" s="4" t="n"/>
      <c r="N75" s="4" t="n"/>
      <c r="O75" s="4" t="n"/>
      <c r="P75" s="4" t="n"/>
      <c r="Q75" s="4" t="n"/>
      <c r="R75" s="4">
        <f>IF(I75="","",IF(L75&lt;=0,"Sí","No"))</f>
        <v/>
      </c>
      <c r="S75" s="4" t="n"/>
    </row>
    <row r="76">
      <c r="A76" s="7">
        <f>IF(B76="","","FC-"&amp;TEXT(ROW()-2,"0000"))</f>
        <v/>
      </c>
      <c r="B76" s="8" t="n"/>
      <c r="C76" s="8" t="n"/>
      <c r="D76" s="8" t="n"/>
      <c r="E76" s="8" t="n"/>
      <c r="F76" s="8" t="n"/>
      <c r="G76" s="8" t="n"/>
      <c r="H76" s="9" t="n"/>
      <c r="I76" s="9" t="n"/>
      <c r="J76" s="10">
        <f>IF(I76="","",I76*0.5)</f>
        <v/>
      </c>
      <c r="K76" s="9" t="n"/>
      <c r="L76" s="10">
        <f>IF(I76="","",I76-K76)</f>
        <v/>
      </c>
      <c r="M76" s="8" t="n"/>
      <c r="N76" s="8" t="n"/>
      <c r="O76" s="8" t="n"/>
      <c r="P76" s="8" t="n"/>
      <c r="Q76" s="8" t="n"/>
      <c r="R76" s="8">
        <f>IF(I76="","",IF(L76&lt;=0,"Sí","No"))</f>
        <v/>
      </c>
      <c r="S76" s="8" t="n"/>
    </row>
    <row r="77">
      <c r="A77" s="3">
        <f>IF(B77="","","FC-"&amp;TEXT(ROW()-2,"0000"))</f>
        <v/>
      </c>
      <c r="B77" s="4" t="n"/>
      <c r="C77" s="4" t="n"/>
      <c r="D77" s="4" t="n"/>
      <c r="E77" s="4" t="n"/>
      <c r="F77" s="4" t="n"/>
      <c r="G77" s="4" t="n"/>
      <c r="H77" s="5" t="n"/>
      <c r="I77" s="5" t="n"/>
      <c r="J77" s="6">
        <f>IF(I77="","",I77*0.5)</f>
        <v/>
      </c>
      <c r="K77" s="5" t="n"/>
      <c r="L77" s="6">
        <f>IF(I77="","",I77-K77)</f>
        <v/>
      </c>
      <c r="M77" s="4" t="n"/>
      <c r="N77" s="4" t="n"/>
      <c r="O77" s="4" t="n"/>
      <c r="P77" s="4" t="n"/>
      <c r="Q77" s="4" t="n"/>
      <c r="R77" s="4">
        <f>IF(I77="","",IF(L77&lt;=0,"Sí","No"))</f>
        <v/>
      </c>
      <c r="S77" s="4" t="n"/>
    </row>
    <row r="78">
      <c r="A78" s="7">
        <f>IF(B78="","","FC-"&amp;TEXT(ROW()-2,"0000"))</f>
        <v/>
      </c>
      <c r="B78" s="8" t="n"/>
      <c r="C78" s="8" t="n"/>
      <c r="D78" s="8" t="n"/>
      <c r="E78" s="8" t="n"/>
      <c r="F78" s="8" t="n"/>
      <c r="G78" s="8" t="n"/>
      <c r="H78" s="9" t="n"/>
      <c r="I78" s="9" t="n"/>
      <c r="J78" s="10">
        <f>IF(I78="","",I78*0.5)</f>
        <v/>
      </c>
      <c r="K78" s="9" t="n"/>
      <c r="L78" s="10">
        <f>IF(I78="","",I78-K78)</f>
        <v/>
      </c>
      <c r="M78" s="8" t="n"/>
      <c r="N78" s="8" t="n"/>
      <c r="O78" s="8" t="n"/>
      <c r="P78" s="8" t="n"/>
      <c r="Q78" s="8" t="n"/>
      <c r="R78" s="8">
        <f>IF(I78="","",IF(L78&lt;=0,"Sí","No"))</f>
        <v/>
      </c>
      <c r="S78" s="8" t="n"/>
    </row>
    <row r="79">
      <c r="A79" s="3">
        <f>IF(B79="","","FC-"&amp;TEXT(ROW()-2,"0000"))</f>
        <v/>
      </c>
      <c r="B79" s="4" t="n"/>
      <c r="C79" s="4" t="n"/>
      <c r="D79" s="4" t="n"/>
      <c r="E79" s="4" t="n"/>
      <c r="F79" s="4" t="n"/>
      <c r="G79" s="4" t="n"/>
      <c r="H79" s="5" t="n"/>
      <c r="I79" s="5" t="n"/>
      <c r="J79" s="6">
        <f>IF(I79="","",I79*0.5)</f>
        <v/>
      </c>
      <c r="K79" s="5" t="n"/>
      <c r="L79" s="6">
        <f>IF(I79="","",I79-K79)</f>
        <v/>
      </c>
      <c r="M79" s="4" t="n"/>
      <c r="N79" s="4" t="n"/>
      <c r="O79" s="4" t="n"/>
      <c r="P79" s="4" t="n"/>
      <c r="Q79" s="4" t="n"/>
      <c r="R79" s="4">
        <f>IF(I79="","",IF(L79&lt;=0,"Sí","No"))</f>
        <v/>
      </c>
      <c r="S79" s="4" t="n"/>
    </row>
    <row r="80">
      <c r="A80" s="7">
        <f>IF(B80="","","FC-"&amp;TEXT(ROW()-2,"0000"))</f>
        <v/>
      </c>
      <c r="B80" s="8" t="n"/>
      <c r="C80" s="8" t="n"/>
      <c r="D80" s="8" t="n"/>
      <c r="E80" s="8" t="n"/>
      <c r="F80" s="8" t="n"/>
      <c r="G80" s="8" t="n"/>
      <c r="H80" s="9" t="n"/>
      <c r="I80" s="9" t="n"/>
      <c r="J80" s="10">
        <f>IF(I80="","",I80*0.5)</f>
        <v/>
      </c>
      <c r="K80" s="9" t="n"/>
      <c r="L80" s="10">
        <f>IF(I80="","",I80-K80)</f>
        <v/>
      </c>
      <c r="M80" s="8" t="n"/>
      <c r="N80" s="8" t="n"/>
      <c r="O80" s="8" t="n"/>
      <c r="P80" s="8" t="n"/>
      <c r="Q80" s="8" t="n"/>
      <c r="R80" s="8">
        <f>IF(I80="","",IF(L80&lt;=0,"Sí","No"))</f>
        <v/>
      </c>
      <c r="S80" s="8" t="n"/>
    </row>
    <row r="81">
      <c r="A81" s="3">
        <f>IF(B81="","","FC-"&amp;TEXT(ROW()-2,"0000"))</f>
        <v/>
      </c>
      <c r="B81" s="4" t="n"/>
      <c r="C81" s="4" t="n"/>
      <c r="D81" s="4" t="n"/>
      <c r="E81" s="4" t="n"/>
      <c r="F81" s="4" t="n"/>
      <c r="G81" s="4" t="n"/>
      <c r="H81" s="5" t="n"/>
      <c r="I81" s="5" t="n"/>
      <c r="J81" s="6">
        <f>IF(I81="","",I81*0.5)</f>
        <v/>
      </c>
      <c r="K81" s="5" t="n"/>
      <c r="L81" s="6">
        <f>IF(I81="","",I81-K81)</f>
        <v/>
      </c>
      <c r="M81" s="4" t="n"/>
      <c r="N81" s="4" t="n"/>
      <c r="O81" s="4" t="n"/>
      <c r="P81" s="4" t="n"/>
      <c r="Q81" s="4" t="n"/>
      <c r="R81" s="4">
        <f>IF(I81="","",IF(L81&lt;=0,"Sí","No"))</f>
        <v/>
      </c>
      <c r="S81" s="4" t="n"/>
    </row>
    <row r="82">
      <c r="A82" s="7">
        <f>IF(B82="","","FC-"&amp;TEXT(ROW()-2,"0000"))</f>
        <v/>
      </c>
      <c r="B82" s="8" t="n"/>
      <c r="C82" s="8" t="n"/>
      <c r="D82" s="8" t="n"/>
      <c r="E82" s="8" t="n"/>
      <c r="F82" s="8" t="n"/>
      <c r="G82" s="8" t="n"/>
      <c r="H82" s="9" t="n"/>
      <c r="I82" s="9" t="n"/>
      <c r="J82" s="10">
        <f>IF(I82="","",I82*0.5)</f>
        <v/>
      </c>
      <c r="K82" s="9" t="n"/>
      <c r="L82" s="10">
        <f>IF(I82="","",I82-K82)</f>
        <v/>
      </c>
      <c r="M82" s="8" t="n"/>
      <c r="N82" s="8" t="n"/>
      <c r="O82" s="8" t="n"/>
      <c r="P82" s="8" t="n"/>
      <c r="Q82" s="8" t="n"/>
      <c r="R82" s="8">
        <f>IF(I82="","",IF(L82&lt;=0,"Sí","No"))</f>
        <v/>
      </c>
      <c r="S82" s="8" t="n"/>
    </row>
    <row r="83">
      <c r="A83" s="3">
        <f>IF(B83="","","FC-"&amp;TEXT(ROW()-2,"0000"))</f>
        <v/>
      </c>
      <c r="B83" s="4" t="n"/>
      <c r="C83" s="4" t="n"/>
      <c r="D83" s="4" t="n"/>
      <c r="E83" s="4" t="n"/>
      <c r="F83" s="4" t="n"/>
      <c r="G83" s="4" t="n"/>
      <c r="H83" s="5" t="n"/>
      <c r="I83" s="5" t="n"/>
      <c r="J83" s="6">
        <f>IF(I83="","",I83*0.5)</f>
        <v/>
      </c>
      <c r="K83" s="5" t="n"/>
      <c r="L83" s="6">
        <f>IF(I83="","",I83-K83)</f>
        <v/>
      </c>
      <c r="M83" s="4" t="n"/>
      <c r="N83" s="4" t="n"/>
      <c r="O83" s="4" t="n"/>
      <c r="P83" s="4" t="n"/>
      <c r="Q83" s="4" t="n"/>
      <c r="R83" s="4">
        <f>IF(I83="","",IF(L83&lt;=0,"Sí","No"))</f>
        <v/>
      </c>
      <c r="S83" s="4" t="n"/>
    </row>
    <row r="84">
      <c r="A84" s="7">
        <f>IF(B84="","","FC-"&amp;TEXT(ROW()-2,"0000"))</f>
        <v/>
      </c>
      <c r="B84" s="8" t="n"/>
      <c r="C84" s="8" t="n"/>
      <c r="D84" s="8" t="n"/>
      <c r="E84" s="8" t="n"/>
      <c r="F84" s="8" t="n"/>
      <c r="G84" s="8" t="n"/>
      <c r="H84" s="9" t="n"/>
      <c r="I84" s="9" t="n"/>
      <c r="J84" s="10">
        <f>IF(I84="","",I84*0.5)</f>
        <v/>
      </c>
      <c r="K84" s="9" t="n"/>
      <c r="L84" s="10">
        <f>IF(I84="","",I84-K84)</f>
        <v/>
      </c>
      <c r="M84" s="8" t="n"/>
      <c r="N84" s="8" t="n"/>
      <c r="O84" s="8" t="n"/>
      <c r="P84" s="8" t="n"/>
      <c r="Q84" s="8" t="n"/>
      <c r="R84" s="8">
        <f>IF(I84="","",IF(L84&lt;=0,"Sí","No"))</f>
        <v/>
      </c>
      <c r="S84" s="8" t="n"/>
    </row>
    <row r="85">
      <c r="A85" s="3">
        <f>IF(B85="","","FC-"&amp;TEXT(ROW()-2,"0000"))</f>
        <v/>
      </c>
      <c r="B85" s="4" t="n"/>
      <c r="C85" s="4" t="n"/>
      <c r="D85" s="4" t="n"/>
      <c r="E85" s="4" t="n"/>
      <c r="F85" s="4" t="n"/>
      <c r="G85" s="4" t="n"/>
      <c r="H85" s="5" t="n"/>
      <c r="I85" s="5" t="n"/>
      <c r="J85" s="6">
        <f>IF(I85="","",I85*0.5)</f>
        <v/>
      </c>
      <c r="K85" s="5" t="n"/>
      <c r="L85" s="6">
        <f>IF(I85="","",I85-K85)</f>
        <v/>
      </c>
      <c r="M85" s="4" t="n"/>
      <c r="N85" s="4" t="n"/>
      <c r="O85" s="4" t="n"/>
      <c r="P85" s="4" t="n"/>
      <c r="Q85" s="4" t="n"/>
      <c r="R85" s="4">
        <f>IF(I85="","",IF(L85&lt;=0,"Sí","No"))</f>
        <v/>
      </c>
      <c r="S85" s="4" t="n"/>
    </row>
    <row r="86">
      <c r="A86" s="7">
        <f>IF(B86="","","FC-"&amp;TEXT(ROW()-2,"0000"))</f>
        <v/>
      </c>
      <c r="B86" s="8" t="n"/>
      <c r="C86" s="8" t="n"/>
      <c r="D86" s="8" t="n"/>
      <c r="E86" s="8" t="n"/>
      <c r="F86" s="8" t="n"/>
      <c r="G86" s="8" t="n"/>
      <c r="H86" s="9" t="n"/>
      <c r="I86" s="9" t="n"/>
      <c r="J86" s="10">
        <f>IF(I86="","",I86*0.5)</f>
        <v/>
      </c>
      <c r="K86" s="9" t="n"/>
      <c r="L86" s="10">
        <f>IF(I86="","",I86-K86)</f>
        <v/>
      </c>
      <c r="M86" s="8" t="n"/>
      <c r="N86" s="8" t="n"/>
      <c r="O86" s="8" t="n"/>
      <c r="P86" s="8" t="n"/>
      <c r="Q86" s="8" t="n"/>
      <c r="R86" s="8">
        <f>IF(I86="","",IF(L86&lt;=0,"Sí","No"))</f>
        <v/>
      </c>
      <c r="S86" s="8" t="n"/>
    </row>
    <row r="87">
      <c r="A87" s="3">
        <f>IF(B87="","","FC-"&amp;TEXT(ROW()-2,"0000"))</f>
        <v/>
      </c>
      <c r="B87" s="4" t="n"/>
      <c r="C87" s="4" t="n"/>
      <c r="D87" s="4" t="n"/>
      <c r="E87" s="4" t="n"/>
      <c r="F87" s="4" t="n"/>
      <c r="G87" s="4" t="n"/>
      <c r="H87" s="5" t="n"/>
      <c r="I87" s="5" t="n"/>
      <c r="J87" s="6">
        <f>IF(I87="","",I87*0.5)</f>
        <v/>
      </c>
      <c r="K87" s="5" t="n"/>
      <c r="L87" s="6">
        <f>IF(I87="","",I87-K87)</f>
        <v/>
      </c>
      <c r="M87" s="4" t="n"/>
      <c r="N87" s="4" t="n"/>
      <c r="O87" s="4" t="n"/>
      <c r="P87" s="4" t="n"/>
      <c r="Q87" s="4" t="n"/>
      <c r="R87" s="4">
        <f>IF(I87="","",IF(L87&lt;=0,"Sí","No"))</f>
        <v/>
      </c>
      <c r="S87" s="4" t="n"/>
    </row>
    <row r="88">
      <c r="A88" s="7">
        <f>IF(B88="","","FC-"&amp;TEXT(ROW()-2,"0000"))</f>
        <v/>
      </c>
      <c r="B88" s="8" t="n"/>
      <c r="C88" s="8" t="n"/>
      <c r="D88" s="8" t="n"/>
      <c r="E88" s="8" t="n"/>
      <c r="F88" s="8" t="n"/>
      <c r="G88" s="8" t="n"/>
      <c r="H88" s="9" t="n"/>
      <c r="I88" s="9" t="n"/>
      <c r="J88" s="10">
        <f>IF(I88="","",I88*0.5)</f>
        <v/>
      </c>
      <c r="K88" s="9" t="n"/>
      <c r="L88" s="10">
        <f>IF(I88="","",I88-K88)</f>
        <v/>
      </c>
      <c r="M88" s="8" t="n"/>
      <c r="N88" s="8" t="n"/>
      <c r="O88" s="8" t="n"/>
      <c r="P88" s="8" t="n"/>
      <c r="Q88" s="8" t="n"/>
      <c r="R88" s="8">
        <f>IF(I88="","",IF(L88&lt;=0,"Sí","No"))</f>
        <v/>
      </c>
      <c r="S88" s="8" t="n"/>
    </row>
    <row r="89">
      <c r="A89" s="3">
        <f>IF(B89="","","FC-"&amp;TEXT(ROW()-2,"0000"))</f>
        <v/>
      </c>
      <c r="B89" s="4" t="n"/>
      <c r="C89" s="4" t="n"/>
      <c r="D89" s="4" t="n"/>
      <c r="E89" s="4" t="n"/>
      <c r="F89" s="4" t="n"/>
      <c r="G89" s="4" t="n"/>
      <c r="H89" s="5" t="n"/>
      <c r="I89" s="5" t="n"/>
      <c r="J89" s="6">
        <f>IF(I89="","",I89*0.5)</f>
        <v/>
      </c>
      <c r="K89" s="5" t="n"/>
      <c r="L89" s="6">
        <f>IF(I89="","",I89-K89)</f>
        <v/>
      </c>
      <c r="M89" s="4" t="n"/>
      <c r="N89" s="4" t="n"/>
      <c r="O89" s="4" t="n"/>
      <c r="P89" s="4" t="n"/>
      <c r="Q89" s="4" t="n"/>
      <c r="R89" s="4">
        <f>IF(I89="","",IF(L89&lt;=0,"Sí","No"))</f>
        <v/>
      </c>
      <c r="S89" s="4" t="n"/>
    </row>
    <row r="90">
      <c r="A90" s="7">
        <f>IF(B90="","","FC-"&amp;TEXT(ROW()-2,"0000"))</f>
        <v/>
      </c>
      <c r="B90" s="8" t="n"/>
      <c r="C90" s="8" t="n"/>
      <c r="D90" s="8" t="n"/>
      <c r="E90" s="8" t="n"/>
      <c r="F90" s="8" t="n"/>
      <c r="G90" s="8" t="n"/>
      <c r="H90" s="9" t="n"/>
      <c r="I90" s="9" t="n"/>
      <c r="J90" s="10">
        <f>IF(I90="","",I90*0.5)</f>
        <v/>
      </c>
      <c r="K90" s="9" t="n"/>
      <c r="L90" s="10">
        <f>IF(I90="","",I90-K90)</f>
        <v/>
      </c>
      <c r="M90" s="8" t="n"/>
      <c r="N90" s="8" t="n"/>
      <c r="O90" s="8" t="n"/>
      <c r="P90" s="8" t="n"/>
      <c r="Q90" s="8" t="n"/>
      <c r="R90" s="8">
        <f>IF(I90="","",IF(L90&lt;=0,"Sí","No"))</f>
        <v/>
      </c>
      <c r="S90" s="8" t="n"/>
    </row>
    <row r="91">
      <c r="A91" s="3">
        <f>IF(B91="","","FC-"&amp;TEXT(ROW()-2,"0000"))</f>
        <v/>
      </c>
      <c r="B91" s="4" t="n"/>
      <c r="C91" s="4" t="n"/>
      <c r="D91" s="4" t="n"/>
      <c r="E91" s="4" t="n"/>
      <c r="F91" s="4" t="n"/>
      <c r="G91" s="4" t="n"/>
      <c r="H91" s="5" t="n"/>
      <c r="I91" s="5" t="n"/>
      <c r="J91" s="6">
        <f>IF(I91="","",I91*0.5)</f>
        <v/>
      </c>
      <c r="K91" s="5" t="n"/>
      <c r="L91" s="6">
        <f>IF(I91="","",I91-K91)</f>
        <v/>
      </c>
      <c r="M91" s="4" t="n"/>
      <c r="N91" s="4" t="n"/>
      <c r="O91" s="4" t="n"/>
      <c r="P91" s="4" t="n"/>
      <c r="Q91" s="4" t="n"/>
      <c r="R91" s="4">
        <f>IF(I91="","",IF(L91&lt;=0,"Sí","No"))</f>
        <v/>
      </c>
      <c r="S91" s="4" t="n"/>
    </row>
    <row r="92">
      <c r="A92" s="7">
        <f>IF(B92="","","FC-"&amp;TEXT(ROW()-2,"0000"))</f>
        <v/>
      </c>
      <c r="B92" s="8" t="n"/>
      <c r="C92" s="8" t="n"/>
      <c r="D92" s="8" t="n"/>
      <c r="E92" s="8" t="n"/>
      <c r="F92" s="8" t="n"/>
      <c r="G92" s="8" t="n"/>
      <c r="H92" s="9" t="n"/>
      <c r="I92" s="9" t="n"/>
      <c r="J92" s="10">
        <f>IF(I92="","",I92*0.5)</f>
        <v/>
      </c>
      <c r="K92" s="9" t="n"/>
      <c r="L92" s="10">
        <f>IF(I92="","",I92-K92)</f>
        <v/>
      </c>
      <c r="M92" s="8" t="n"/>
      <c r="N92" s="8" t="n"/>
      <c r="O92" s="8" t="n"/>
      <c r="P92" s="8" t="n"/>
      <c r="Q92" s="8" t="n"/>
      <c r="R92" s="8">
        <f>IF(I92="","",IF(L92&lt;=0,"Sí","No"))</f>
        <v/>
      </c>
      <c r="S92" s="8" t="n"/>
    </row>
    <row r="93">
      <c r="A93" s="3">
        <f>IF(B93="","","FC-"&amp;TEXT(ROW()-2,"0000"))</f>
        <v/>
      </c>
      <c r="B93" s="4" t="n"/>
      <c r="C93" s="4" t="n"/>
      <c r="D93" s="4" t="n"/>
      <c r="E93" s="4" t="n"/>
      <c r="F93" s="4" t="n"/>
      <c r="G93" s="4" t="n"/>
      <c r="H93" s="5" t="n"/>
      <c r="I93" s="5" t="n"/>
      <c r="J93" s="6">
        <f>IF(I93="","",I93*0.5)</f>
        <v/>
      </c>
      <c r="K93" s="5" t="n"/>
      <c r="L93" s="6">
        <f>IF(I93="","",I93-K93)</f>
        <v/>
      </c>
      <c r="M93" s="4" t="n"/>
      <c r="N93" s="4" t="n"/>
      <c r="O93" s="4" t="n"/>
      <c r="P93" s="4" t="n"/>
      <c r="Q93" s="4" t="n"/>
      <c r="R93" s="4">
        <f>IF(I93="","",IF(L93&lt;=0,"Sí","No"))</f>
        <v/>
      </c>
      <c r="S93" s="4" t="n"/>
    </row>
    <row r="94">
      <c r="A94" s="7">
        <f>IF(B94="","","FC-"&amp;TEXT(ROW()-2,"0000"))</f>
        <v/>
      </c>
      <c r="B94" s="8" t="n"/>
      <c r="C94" s="8" t="n"/>
      <c r="D94" s="8" t="n"/>
      <c r="E94" s="8" t="n"/>
      <c r="F94" s="8" t="n"/>
      <c r="G94" s="8" t="n"/>
      <c r="H94" s="9" t="n"/>
      <c r="I94" s="9" t="n"/>
      <c r="J94" s="10">
        <f>IF(I94="","",I94*0.5)</f>
        <v/>
      </c>
      <c r="K94" s="9" t="n"/>
      <c r="L94" s="10">
        <f>IF(I94="","",I94-K94)</f>
        <v/>
      </c>
      <c r="M94" s="8" t="n"/>
      <c r="N94" s="8" t="n"/>
      <c r="O94" s="8" t="n"/>
      <c r="P94" s="8" t="n"/>
      <c r="Q94" s="8" t="n"/>
      <c r="R94" s="8">
        <f>IF(I94="","",IF(L94&lt;=0,"Sí","No"))</f>
        <v/>
      </c>
      <c r="S94" s="8" t="n"/>
    </row>
    <row r="95">
      <c r="A95" s="3">
        <f>IF(B95="","","FC-"&amp;TEXT(ROW()-2,"0000"))</f>
        <v/>
      </c>
      <c r="B95" s="4" t="n"/>
      <c r="C95" s="4" t="n"/>
      <c r="D95" s="4" t="n"/>
      <c r="E95" s="4" t="n"/>
      <c r="F95" s="4" t="n"/>
      <c r="G95" s="4" t="n"/>
      <c r="H95" s="5" t="n"/>
      <c r="I95" s="5" t="n"/>
      <c r="J95" s="6">
        <f>IF(I95="","",I95*0.5)</f>
        <v/>
      </c>
      <c r="K95" s="5" t="n"/>
      <c r="L95" s="6">
        <f>IF(I95="","",I95-K95)</f>
        <v/>
      </c>
      <c r="M95" s="4" t="n"/>
      <c r="N95" s="4" t="n"/>
      <c r="O95" s="4" t="n"/>
      <c r="P95" s="4" t="n"/>
      <c r="Q95" s="4" t="n"/>
      <c r="R95" s="4">
        <f>IF(I95="","",IF(L95&lt;=0,"Sí","No"))</f>
        <v/>
      </c>
      <c r="S95" s="4" t="n"/>
    </row>
    <row r="96">
      <c r="A96" s="7">
        <f>IF(B96="","","FC-"&amp;TEXT(ROW()-2,"0000"))</f>
        <v/>
      </c>
      <c r="B96" s="8" t="n"/>
      <c r="C96" s="8" t="n"/>
      <c r="D96" s="8" t="n"/>
      <c r="E96" s="8" t="n"/>
      <c r="F96" s="8" t="n"/>
      <c r="G96" s="8" t="n"/>
      <c r="H96" s="9" t="n"/>
      <c r="I96" s="9" t="n"/>
      <c r="J96" s="10">
        <f>IF(I96="","",I96*0.5)</f>
        <v/>
      </c>
      <c r="K96" s="9" t="n"/>
      <c r="L96" s="10">
        <f>IF(I96="","",I96-K96)</f>
        <v/>
      </c>
      <c r="M96" s="8" t="n"/>
      <c r="N96" s="8" t="n"/>
      <c r="O96" s="8" t="n"/>
      <c r="P96" s="8" t="n"/>
      <c r="Q96" s="8" t="n"/>
      <c r="R96" s="8">
        <f>IF(I96="","",IF(L96&lt;=0,"Sí","No"))</f>
        <v/>
      </c>
      <c r="S96" s="8" t="n"/>
    </row>
    <row r="97">
      <c r="A97" s="3">
        <f>IF(B97="","","FC-"&amp;TEXT(ROW()-2,"0000"))</f>
        <v/>
      </c>
      <c r="B97" s="4" t="n"/>
      <c r="C97" s="4" t="n"/>
      <c r="D97" s="4" t="n"/>
      <c r="E97" s="4" t="n"/>
      <c r="F97" s="4" t="n"/>
      <c r="G97" s="4" t="n"/>
      <c r="H97" s="5" t="n"/>
      <c r="I97" s="5" t="n"/>
      <c r="J97" s="6">
        <f>IF(I97="","",I97*0.5)</f>
        <v/>
      </c>
      <c r="K97" s="5" t="n"/>
      <c r="L97" s="6">
        <f>IF(I97="","",I97-K97)</f>
        <v/>
      </c>
      <c r="M97" s="4" t="n"/>
      <c r="N97" s="4" t="n"/>
      <c r="O97" s="4" t="n"/>
      <c r="P97" s="4" t="n"/>
      <c r="Q97" s="4" t="n"/>
      <c r="R97" s="4">
        <f>IF(I97="","",IF(L97&lt;=0,"Sí","No"))</f>
        <v/>
      </c>
      <c r="S97" s="4" t="n"/>
    </row>
    <row r="98">
      <c r="A98" s="7">
        <f>IF(B98="","","FC-"&amp;TEXT(ROW()-2,"0000"))</f>
        <v/>
      </c>
      <c r="B98" s="8" t="n"/>
      <c r="C98" s="8" t="n"/>
      <c r="D98" s="8" t="n"/>
      <c r="E98" s="8" t="n"/>
      <c r="F98" s="8" t="n"/>
      <c r="G98" s="8" t="n"/>
      <c r="H98" s="9" t="n"/>
      <c r="I98" s="9" t="n"/>
      <c r="J98" s="10">
        <f>IF(I98="","",I98*0.5)</f>
        <v/>
      </c>
      <c r="K98" s="9" t="n"/>
      <c r="L98" s="10">
        <f>IF(I98="","",I98-K98)</f>
        <v/>
      </c>
      <c r="M98" s="8" t="n"/>
      <c r="N98" s="8" t="n"/>
      <c r="O98" s="8" t="n"/>
      <c r="P98" s="8" t="n"/>
      <c r="Q98" s="8" t="n"/>
      <c r="R98" s="8">
        <f>IF(I98="","",IF(L98&lt;=0,"Sí","No"))</f>
        <v/>
      </c>
      <c r="S98" s="8" t="n"/>
    </row>
    <row r="99">
      <c r="A99" s="3">
        <f>IF(B99="","","FC-"&amp;TEXT(ROW()-2,"0000"))</f>
        <v/>
      </c>
      <c r="B99" s="4" t="n"/>
      <c r="C99" s="4" t="n"/>
      <c r="D99" s="4" t="n"/>
      <c r="E99" s="4" t="n"/>
      <c r="F99" s="4" t="n"/>
      <c r="G99" s="4" t="n"/>
      <c r="H99" s="5" t="n"/>
      <c r="I99" s="5" t="n"/>
      <c r="J99" s="6">
        <f>IF(I99="","",I99*0.5)</f>
        <v/>
      </c>
      <c r="K99" s="5" t="n"/>
      <c r="L99" s="6">
        <f>IF(I99="","",I99-K99)</f>
        <v/>
      </c>
      <c r="M99" s="4" t="n"/>
      <c r="N99" s="4" t="n"/>
      <c r="O99" s="4" t="n"/>
      <c r="P99" s="4" t="n"/>
      <c r="Q99" s="4" t="n"/>
      <c r="R99" s="4">
        <f>IF(I99="","",IF(L99&lt;=0,"Sí","No"))</f>
        <v/>
      </c>
      <c r="S99" s="4" t="n"/>
    </row>
    <row r="100">
      <c r="A100" s="7">
        <f>IF(B100="","","FC-"&amp;TEXT(ROW()-2,"0000"))</f>
        <v/>
      </c>
      <c r="B100" s="8" t="n"/>
      <c r="C100" s="8" t="n"/>
      <c r="D100" s="8" t="n"/>
      <c r="E100" s="8" t="n"/>
      <c r="F100" s="8" t="n"/>
      <c r="G100" s="8" t="n"/>
      <c r="H100" s="9" t="n"/>
      <c r="I100" s="9" t="n"/>
      <c r="J100" s="10">
        <f>IF(I100="","",I100*0.5)</f>
        <v/>
      </c>
      <c r="K100" s="9" t="n"/>
      <c r="L100" s="10">
        <f>IF(I100="","",I100-K100)</f>
        <v/>
      </c>
      <c r="M100" s="8" t="n"/>
      <c r="N100" s="8" t="n"/>
      <c r="O100" s="8" t="n"/>
      <c r="P100" s="8" t="n"/>
      <c r="Q100" s="8" t="n"/>
      <c r="R100" s="8">
        <f>IF(I100="","",IF(L100&lt;=0,"Sí","No"))</f>
        <v/>
      </c>
      <c r="S100" s="8" t="n"/>
    </row>
    <row r="101">
      <c r="A101" s="3">
        <f>IF(B101="","","FC-"&amp;TEXT(ROW()-2,"0000"))</f>
        <v/>
      </c>
      <c r="B101" s="4" t="n"/>
      <c r="C101" s="4" t="n"/>
      <c r="D101" s="4" t="n"/>
      <c r="E101" s="4" t="n"/>
      <c r="F101" s="4" t="n"/>
      <c r="G101" s="4" t="n"/>
      <c r="H101" s="5" t="n"/>
      <c r="I101" s="5" t="n"/>
      <c r="J101" s="6">
        <f>IF(I101="","",I101*0.5)</f>
        <v/>
      </c>
      <c r="K101" s="5" t="n"/>
      <c r="L101" s="6">
        <f>IF(I101="","",I101-K101)</f>
        <v/>
      </c>
      <c r="M101" s="4" t="n"/>
      <c r="N101" s="4" t="n"/>
      <c r="O101" s="4" t="n"/>
      <c r="P101" s="4" t="n"/>
      <c r="Q101" s="4" t="n"/>
      <c r="R101" s="4">
        <f>IF(I101="","",IF(L101&lt;=0,"Sí","No"))</f>
        <v/>
      </c>
      <c r="S101" s="4" t="n"/>
    </row>
    <row r="102">
      <c r="A102" s="7">
        <f>IF(B102="","","FC-"&amp;TEXT(ROW()-2,"0000"))</f>
        <v/>
      </c>
      <c r="B102" s="8" t="n"/>
      <c r="C102" s="8" t="n"/>
      <c r="D102" s="8" t="n"/>
      <c r="E102" s="8" t="n"/>
      <c r="F102" s="8" t="n"/>
      <c r="G102" s="8" t="n"/>
      <c r="H102" s="9" t="n"/>
      <c r="I102" s="9" t="n"/>
      <c r="J102" s="10">
        <f>IF(I102="","",I102*0.5)</f>
        <v/>
      </c>
      <c r="K102" s="9" t="n"/>
      <c r="L102" s="10">
        <f>IF(I102="","",I102-K102)</f>
        <v/>
      </c>
      <c r="M102" s="8" t="n"/>
      <c r="N102" s="8" t="n"/>
      <c r="O102" s="8" t="n"/>
      <c r="P102" s="8" t="n"/>
      <c r="Q102" s="8" t="n"/>
      <c r="R102" s="8">
        <f>IF(I102="","",IF(L102&lt;=0,"Sí","No"))</f>
        <v/>
      </c>
      <c r="S102" s="8" t="n"/>
    </row>
    <row r="103">
      <c r="A103" s="3">
        <f>IF(B103="","","FC-"&amp;TEXT(ROW()-2,"0000"))</f>
        <v/>
      </c>
      <c r="B103" s="4" t="n"/>
      <c r="C103" s="4" t="n"/>
      <c r="D103" s="4" t="n"/>
      <c r="E103" s="4" t="n"/>
      <c r="F103" s="4" t="n"/>
      <c r="G103" s="4" t="n"/>
      <c r="H103" s="5" t="n"/>
      <c r="I103" s="5" t="n"/>
      <c r="J103" s="6">
        <f>IF(I103="","",I103*0.5)</f>
        <v/>
      </c>
      <c r="K103" s="5" t="n"/>
      <c r="L103" s="6">
        <f>IF(I103="","",I103-K103)</f>
        <v/>
      </c>
      <c r="M103" s="4" t="n"/>
      <c r="N103" s="4" t="n"/>
      <c r="O103" s="4" t="n"/>
      <c r="P103" s="4" t="n"/>
      <c r="Q103" s="4" t="n"/>
      <c r="R103" s="4">
        <f>IF(I103="","",IF(L103&lt;=0,"Sí","No"))</f>
        <v/>
      </c>
      <c r="S103" s="4" t="n"/>
    </row>
    <row r="104">
      <c r="A104" s="7">
        <f>IF(B104="","","FC-"&amp;TEXT(ROW()-2,"0000"))</f>
        <v/>
      </c>
      <c r="B104" s="8" t="n"/>
      <c r="C104" s="8" t="n"/>
      <c r="D104" s="8" t="n"/>
      <c r="E104" s="8" t="n"/>
      <c r="F104" s="8" t="n"/>
      <c r="G104" s="8" t="n"/>
      <c r="H104" s="9" t="n"/>
      <c r="I104" s="9" t="n"/>
      <c r="J104" s="10">
        <f>IF(I104="","",I104*0.5)</f>
        <v/>
      </c>
      <c r="K104" s="9" t="n"/>
      <c r="L104" s="10">
        <f>IF(I104="","",I104-K104)</f>
        <v/>
      </c>
      <c r="M104" s="8" t="n"/>
      <c r="N104" s="8" t="n"/>
      <c r="O104" s="8" t="n"/>
      <c r="P104" s="8" t="n"/>
      <c r="Q104" s="8" t="n"/>
      <c r="R104" s="8">
        <f>IF(I104="","",IF(L104&lt;=0,"Sí","No"))</f>
        <v/>
      </c>
      <c r="S104" s="8" t="n"/>
    </row>
    <row r="105">
      <c r="A105" s="3">
        <f>IF(B105="","","FC-"&amp;TEXT(ROW()-2,"0000"))</f>
        <v/>
      </c>
      <c r="B105" s="4" t="n"/>
      <c r="C105" s="4" t="n"/>
      <c r="D105" s="4" t="n"/>
      <c r="E105" s="4" t="n"/>
      <c r="F105" s="4" t="n"/>
      <c r="G105" s="4" t="n"/>
      <c r="H105" s="5" t="n"/>
      <c r="I105" s="5" t="n"/>
      <c r="J105" s="6">
        <f>IF(I105="","",I105*0.5)</f>
        <v/>
      </c>
      <c r="K105" s="5" t="n"/>
      <c r="L105" s="6">
        <f>IF(I105="","",I105-K105)</f>
        <v/>
      </c>
      <c r="M105" s="4" t="n"/>
      <c r="N105" s="4" t="n"/>
      <c r="O105" s="4" t="n"/>
      <c r="P105" s="4" t="n"/>
      <c r="Q105" s="4" t="n"/>
      <c r="R105" s="4">
        <f>IF(I105="","",IF(L105&lt;=0,"Sí","No"))</f>
        <v/>
      </c>
      <c r="S105" s="4" t="n"/>
    </row>
    <row r="106">
      <c r="A106" s="7">
        <f>IF(B106="","","FC-"&amp;TEXT(ROW()-2,"0000"))</f>
        <v/>
      </c>
      <c r="B106" s="8" t="n"/>
      <c r="C106" s="8" t="n"/>
      <c r="D106" s="8" t="n"/>
      <c r="E106" s="8" t="n"/>
      <c r="F106" s="8" t="n"/>
      <c r="G106" s="8" t="n"/>
      <c r="H106" s="9" t="n"/>
      <c r="I106" s="9" t="n"/>
      <c r="J106" s="10">
        <f>IF(I106="","",I106*0.5)</f>
        <v/>
      </c>
      <c r="K106" s="9" t="n"/>
      <c r="L106" s="10">
        <f>IF(I106="","",I106-K106)</f>
        <v/>
      </c>
      <c r="M106" s="8" t="n"/>
      <c r="N106" s="8" t="n"/>
      <c r="O106" s="8" t="n"/>
      <c r="P106" s="8" t="n"/>
      <c r="Q106" s="8" t="n"/>
      <c r="R106" s="8">
        <f>IF(I106="","",IF(L106&lt;=0,"Sí","No"))</f>
        <v/>
      </c>
      <c r="S106" s="8" t="n"/>
    </row>
    <row r="107">
      <c r="A107" s="3">
        <f>IF(B107="","","FC-"&amp;TEXT(ROW()-2,"0000"))</f>
        <v/>
      </c>
      <c r="B107" s="4" t="n"/>
      <c r="C107" s="4" t="n"/>
      <c r="D107" s="4" t="n"/>
      <c r="E107" s="4" t="n"/>
      <c r="F107" s="4" t="n"/>
      <c r="G107" s="4" t="n"/>
      <c r="H107" s="5" t="n"/>
      <c r="I107" s="5" t="n"/>
      <c r="J107" s="6">
        <f>IF(I107="","",I107*0.5)</f>
        <v/>
      </c>
      <c r="K107" s="5" t="n"/>
      <c r="L107" s="6">
        <f>IF(I107="","",I107-K107)</f>
        <v/>
      </c>
      <c r="M107" s="4" t="n"/>
      <c r="N107" s="4" t="n"/>
      <c r="O107" s="4" t="n"/>
      <c r="P107" s="4" t="n"/>
      <c r="Q107" s="4" t="n"/>
      <c r="R107" s="4">
        <f>IF(I107="","",IF(L107&lt;=0,"Sí","No"))</f>
        <v/>
      </c>
      <c r="S107" s="4" t="n"/>
    </row>
    <row r="108">
      <c r="A108" s="7">
        <f>IF(B108="","","FC-"&amp;TEXT(ROW()-2,"0000"))</f>
        <v/>
      </c>
      <c r="B108" s="8" t="n"/>
      <c r="C108" s="8" t="n"/>
      <c r="D108" s="8" t="n"/>
      <c r="E108" s="8" t="n"/>
      <c r="F108" s="8" t="n"/>
      <c r="G108" s="8" t="n"/>
      <c r="H108" s="9" t="n"/>
      <c r="I108" s="9" t="n"/>
      <c r="J108" s="10">
        <f>IF(I108="","",I108*0.5)</f>
        <v/>
      </c>
      <c r="K108" s="9" t="n"/>
      <c r="L108" s="10">
        <f>IF(I108="","",I108-K108)</f>
        <v/>
      </c>
      <c r="M108" s="8" t="n"/>
      <c r="N108" s="8" t="n"/>
      <c r="O108" s="8" t="n"/>
      <c r="P108" s="8" t="n"/>
      <c r="Q108" s="8" t="n"/>
      <c r="R108" s="8">
        <f>IF(I108="","",IF(L108&lt;=0,"Sí","No"))</f>
        <v/>
      </c>
      <c r="S108" s="8" t="n"/>
    </row>
    <row r="109">
      <c r="A109" s="3">
        <f>IF(B109="","","FC-"&amp;TEXT(ROW()-2,"0000"))</f>
        <v/>
      </c>
      <c r="B109" s="4" t="n"/>
      <c r="C109" s="4" t="n"/>
      <c r="D109" s="4" t="n"/>
      <c r="E109" s="4" t="n"/>
      <c r="F109" s="4" t="n"/>
      <c r="G109" s="4" t="n"/>
      <c r="H109" s="5" t="n"/>
      <c r="I109" s="5" t="n"/>
      <c r="J109" s="6">
        <f>IF(I109="","",I109*0.5)</f>
        <v/>
      </c>
      <c r="K109" s="5" t="n"/>
      <c r="L109" s="6">
        <f>IF(I109="","",I109-K109)</f>
        <v/>
      </c>
      <c r="M109" s="4" t="n"/>
      <c r="N109" s="4" t="n"/>
      <c r="O109" s="4" t="n"/>
      <c r="P109" s="4" t="n"/>
      <c r="Q109" s="4" t="n"/>
      <c r="R109" s="4">
        <f>IF(I109="","",IF(L109&lt;=0,"Sí","No"))</f>
        <v/>
      </c>
      <c r="S109" s="4" t="n"/>
    </row>
    <row r="110">
      <c r="A110" s="7">
        <f>IF(B110="","","FC-"&amp;TEXT(ROW()-2,"0000"))</f>
        <v/>
      </c>
      <c r="B110" s="8" t="n"/>
      <c r="C110" s="8" t="n"/>
      <c r="D110" s="8" t="n"/>
      <c r="E110" s="8" t="n"/>
      <c r="F110" s="8" t="n"/>
      <c r="G110" s="8" t="n"/>
      <c r="H110" s="9" t="n"/>
      <c r="I110" s="9" t="n"/>
      <c r="J110" s="10">
        <f>IF(I110="","",I110*0.5)</f>
        <v/>
      </c>
      <c r="K110" s="9" t="n"/>
      <c r="L110" s="10">
        <f>IF(I110="","",I110-K110)</f>
        <v/>
      </c>
      <c r="M110" s="8" t="n"/>
      <c r="N110" s="8" t="n"/>
      <c r="O110" s="8" t="n"/>
      <c r="P110" s="8" t="n"/>
      <c r="Q110" s="8" t="n"/>
      <c r="R110" s="8">
        <f>IF(I110="","",IF(L110&lt;=0,"Sí","No"))</f>
        <v/>
      </c>
      <c r="S110" s="8" t="n"/>
    </row>
    <row r="111">
      <c r="A111" s="3">
        <f>IF(B111="","","FC-"&amp;TEXT(ROW()-2,"0000"))</f>
        <v/>
      </c>
      <c r="B111" s="4" t="n"/>
      <c r="C111" s="4" t="n"/>
      <c r="D111" s="4" t="n"/>
      <c r="E111" s="4" t="n"/>
      <c r="F111" s="4" t="n"/>
      <c r="G111" s="4" t="n"/>
      <c r="H111" s="5" t="n"/>
      <c r="I111" s="5" t="n"/>
      <c r="J111" s="6">
        <f>IF(I111="","",I111*0.5)</f>
        <v/>
      </c>
      <c r="K111" s="5" t="n"/>
      <c r="L111" s="6">
        <f>IF(I111="","",I111-K111)</f>
        <v/>
      </c>
      <c r="M111" s="4" t="n"/>
      <c r="N111" s="4" t="n"/>
      <c r="O111" s="4" t="n"/>
      <c r="P111" s="4" t="n"/>
      <c r="Q111" s="4" t="n"/>
      <c r="R111" s="4">
        <f>IF(I111="","",IF(L111&lt;=0,"Sí","No"))</f>
        <v/>
      </c>
      <c r="S111" s="4" t="n"/>
    </row>
    <row r="112">
      <c r="A112" s="7">
        <f>IF(B112="","","FC-"&amp;TEXT(ROW()-2,"0000"))</f>
        <v/>
      </c>
      <c r="B112" s="8" t="n"/>
      <c r="C112" s="8" t="n"/>
      <c r="D112" s="8" t="n"/>
      <c r="E112" s="8" t="n"/>
      <c r="F112" s="8" t="n"/>
      <c r="G112" s="8" t="n"/>
      <c r="H112" s="9" t="n"/>
      <c r="I112" s="9" t="n"/>
      <c r="J112" s="10">
        <f>IF(I112="","",I112*0.5)</f>
        <v/>
      </c>
      <c r="K112" s="9" t="n"/>
      <c r="L112" s="10">
        <f>IF(I112="","",I112-K112)</f>
        <v/>
      </c>
      <c r="M112" s="8" t="n"/>
      <c r="N112" s="8" t="n"/>
      <c r="O112" s="8" t="n"/>
      <c r="P112" s="8" t="n"/>
      <c r="Q112" s="8" t="n"/>
      <c r="R112" s="8">
        <f>IF(I112="","",IF(L112&lt;=0,"Sí","No"))</f>
        <v/>
      </c>
      <c r="S112" s="8" t="n"/>
    </row>
    <row r="113">
      <c r="A113" s="3">
        <f>IF(B113="","","FC-"&amp;TEXT(ROW()-2,"0000"))</f>
        <v/>
      </c>
      <c r="B113" s="4" t="n"/>
      <c r="C113" s="4" t="n"/>
      <c r="D113" s="4" t="n"/>
      <c r="E113" s="4" t="n"/>
      <c r="F113" s="4" t="n"/>
      <c r="G113" s="4" t="n"/>
      <c r="H113" s="5" t="n"/>
      <c r="I113" s="5" t="n"/>
      <c r="J113" s="6">
        <f>IF(I113="","",I113*0.5)</f>
        <v/>
      </c>
      <c r="K113" s="5" t="n"/>
      <c r="L113" s="6">
        <f>IF(I113="","",I113-K113)</f>
        <v/>
      </c>
      <c r="M113" s="4" t="n"/>
      <c r="N113" s="4" t="n"/>
      <c r="O113" s="4" t="n"/>
      <c r="P113" s="4" t="n"/>
      <c r="Q113" s="4" t="n"/>
      <c r="R113" s="4">
        <f>IF(I113="","",IF(L113&lt;=0,"Sí","No"))</f>
        <v/>
      </c>
      <c r="S113" s="4" t="n"/>
    </row>
    <row r="114">
      <c r="A114" s="7">
        <f>IF(B114="","","FC-"&amp;TEXT(ROW()-2,"0000"))</f>
        <v/>
      </c>
      <c r="B114" s="8" t="n"/>
      <c r="C114" s="8" t="n"/>
      <c r="D114" s="8" t="n"/>
      <c r="E114" s="8" t="n"/>
      <c r="F114" s="8" t="n"/>
      <c r="G114" s="8" t="n"/>
      <c r="H114" s="9" t="n"/>
      <c r="I114" s="9" t="n"/>
      <c r="J114" s="10">
        <f>IF(I114="","",I114*0.5)</f>
        <v/>
      </c>
      <c r="K114" s="9" t="n"/>
      <c r="L114" s="10">
        <f>IF(I114="","",I114-K114)</f>
        <v/>
      </c>
      <c r="M114" s="8" t="n"/>
      <c r="N114" s="8" t="n"/>
      <c r="O114" s="8" t="n"/>
      <c r="P114" s="8" t="n"/>
      <c r="Q114" s="8" t="n"/>
      <c r="R114" s="8">
        <f>IF(I114="","",IF(L114&lt;=0,"Sí","No"))</f>
        <v/>
      </c>
      <c r="S114" s="8" t="n"/>
    </row>
    <row r="115">
      <c r="A115" s="3">
        <f>IF(B115="","","FC-"&amp;TEXT(ROW()-2,"0000"))</f>
        <v/>
      </c>
      <c r="B115" s="4" t="n"/>
      <c r="C115" s="4" t="n"/>
      <c r="D115" s="4" t="n"/>
      <c r="E115" s="4" t="n"/>
      <c r="F115" s="4" t="n"/>
      <c r="G115" s="4" t="n"/>
      <c r="H115" s="5" t="n"/>
      <c r="I115" s="5" t="n"/>
      <c r="J115" s="6">
        <f>IF(I115="","",I115*0.5)</f>
        <v/>
      </c>
      <c r="K115" s="5" t="n"/>
      <c r="L115" s="6">
        <f>IF(I115="","",I115-K115)</f>
        <v/>
      </c>
      <c r="M115" s="4" t="n"/>
      <c r="N115" s="4" t="n"/>
      <c r="O115" s="4" t="n"/>
      <c r="P115" s="4" t="n"/>
      <c r="Q115" s="4" t="n"/>
      <c r="R115" s="4">
        <f>IF(I115="","",IF(L115&lt;=0,"Sí","No"))</f>
        <v/>
      </c>
      <c r="S115" s="4" t="n"/>
    </row>
    <row r="116">
      <c r="A116" s="7">
        <f>IF(B116="","","FC-"&amp;TEXT(ROW()-2,"0000"))</f>
        <v/>
      </c>
      <c r="B116" s="8" t="n"/>
      <c r="C116" s="8" t="n"/>
      <c r="D116" s="8" t="n"/>
      <c r="E116" s="8" t="n"/>
      <c r="F116" s="8" t="n"/>
      <c r="G116" s="8" t="n"/>
      <c r="H116" s="9" t="n"/>
      <c r="I116" s="9" t="n"/>
      <c r="J116" s="10">
        <f>IF(I116="","",I116*0.5)</f>
        <v/>
      </c>
      <c r="K116" s="9" t="n"/>
      <c r="L116" s="10">
        <f>IF(I116="","",I116-K116)</f>
        <v/>
      </c>
      <c r="M116" s="8" t="n"/>
      <c r="N116" s="8" t="n"/>
      <c r="O116" s="8" t="n"/>
      <c r="P116" s="8" t="n"/>
      <c r="Q116" s="8" t="n"/>
      <c r="R116" s="8">
        <f>IF(I116="","",IF(L116&lt;=0,"Sí","No"))</f>
        <v/>
      </c>
      <c r="S116" s="8" t="n"/>
    </row>
    <row r="117">
      <c r="A117" s="3">
        <f>IF(B117="","","FC-"&amp;TEXT(ROW()-2,"0000"))</f>
        <v/>
      </c>
      <c r="B117" s="4" t="n"/>
      <c r="C117" s="4" t="n"/>
      <c r="D117" s="4" t="n"/>
      <c r="E117" s="4" t="n"/>
      <c r="F117" s="4" t="n"/>
      <c r="G117" s="4" t="n"/>
      <c r="H117" s="5" t="n"/>
      <c r="I117" s="5" t="n"/>
      <c r="J117" s="6">
        <f>IF(I117="","",I117*0.5)</f>
        <v/>
      </c>
      <c r="K117" s="5" t="n"/>
      <c r="L117" s="6">
        <f>IF(I117="","",I117-K117)</f>
        <v/>
      </c>
      <c r="M117" s="4" t="n"/>
      <c r="N117" s="4" t="n"/>
      <c r="O117" s="4" t="n"/>
      <c r="P117" s="4" t="n"/>
      <c r="Q117" s="4" t="n"/>
      <c r="R117" s="4">
        <f>IF(I117="","",IF(L117&lt;=0,"Sí","No"))</f>
        <v/>
      </c>
      <c r="S117" s="4" t="n"/>
    </row>
    <row r="118">
      <c r="A118" s="7">
        <f>IF(B118="","","FC-"&amp;TEXT(ROW()-2,"0000"))</f>
        <v/>
      </c>
      <c r="B118" s="8" t="n"/>
      <c r="C118" s="8" t="n"/>
      <c r="D118" s="8" t="n"/>
      <c r="E118" s="8" t="n"/>
      <c r="F118" s="8" t="n"/>
      <c r="G118" s="8" t="n"/>
      <c r="H118" s="9" t="n"/>
      <c r="I118" s="9" t="n"/>
      <c r="J118" s="10">
        <f>IF(I118="","",I118*0.5)</f>
        <v/>
      </c>
      <c r="K118" s="9" t="n"/>
      <c r="L118" s="10">
        <f>IF(I118="","",I118-K118)</f>
        <v/>
      </c>
      <c r="M118" s="8" t="n"/>
      <c r="N118" s="8" t="n"/>
      <c r="O118" s="8" t="n"/>
      <c r="P118" s="8" t="n"/>
      <c r="Q118" s="8" t="n"/>
      <c r="R118" s="8">
        <f>IF(I118="","",IF(L118&lt;=0,"Sí","No"))</f>
        <v/>
      </c>
      <c r="S118" s="8" t="n"/>
    </row>
    <row r="119">
      <c r="A119" s="3">
        <f>IF(B119="","","FC-"&amp;TEXT(ROW()-2,"0000"))</f>
        <v/>
      </c>
      <c r="B119" s="4" t="n"/>
      <c r="C119" s="4" t="n"/>
      <c r="D119" s="4" t="n"/>
      <c r="E119" s="4" t="n"/>
      <c r="F119" s="4" t="n"/>
      <c r="G119" s="4" t="n"/>
      <c r="H119" s="5" t="n"/>
      <c r="I119" s="5" t="n"/>
      <c r="J119" s="6">
        <f>IF(I119="","",I119*0.5)</f>
        <v/>
      </c>
      <c r="K119" s="5" t="n"/>
      <c r="L119" s="6">
        <f>IF(I119="","",I119-K119)</f>
        <v/>
      </c>
      <c r="M119" s="4" t="n"/>
      <c r="N119" s="4" t="n"/>
      <c r="O119" s="4" t="n"/>
      <c r="P119" s="4" t="n"/>
      <c r="Q119" s="4" t="n"/>
      <c r="R119" s="4">
        <f>IF(I119="","",IF(L119&lt;=0,"Sí","No"))</f>
        <v/>
      </c>
      <c r="S119" s="4" t="n"/>
    </row>
    <row r="120">
      <c r="A120" s="7">
        <f>IF(B120="","","FC-"&amp;TEXT(ROW()-2,"0000"))</f>
        <v/>
      </c>
      <c r="B120" s="8" t="n"/>
      <c r="C120" s="8" t="n"/>
      <c r="D120" s="8" t="n"/>
      <c r="E120" s="8" t="n"/>
      <c r="F120" s="8" t="n"/>
      <c r="G120" s="8" t="n"/>
      <c r="H120" s="9" t="n"/>
      <c r="I120" s="9" t="n"/>
      <c r="J120" s="10">
        <f>IF(I120="","",I120*0.5)</f>
        <v/>
      </c>
      <c r="K120" s="9" t="n"/>
      <c r="L120" s="10">
        <f>IF(I120="","",I120-K120)</f>
        <v/>
      </c>
      <c r="M120" s="8" t="n"/>
      <c r="N120" s="8" t="n"/>
      <c r="O120" s="8" t="n"/>
      <c r="P120" s="8" t="n"/>
      <c r="Q120" s="8" t="n"/>
      <c r="R120" s="8">
        <f>IF(I120="","",IF(L120&lt;=0,"Sí","No"))</f>
        <v/>
      </c>
      <c r="S120" s="8" t="n"/>
    </row>
    <row r="121">
      <c r="A121" s="3">
        <f>IF(B121="","","FC-"&amp;TEXT(ROW()-2,"0000"))</f>
        <v/>
      </c>
      <c r="B121" s="4" t="n"/>
      <c r="C121" s="4" t="n"/>
      <c r="D121" s="4" t="n"/>
      <c r="E121" s="4" t="n"/>
      <c r="F121" s="4" t="n"/>
      <c r="G121" s="4" t="n"/>
      <c r="H121" s="5" t="n"/>
      <c r="I121" s="5" t="n"/>
      <c r="J121" s="6">
        <f>IF(I121="","",I121*0.5)</f>
        <v/>
      </c>
      <c r="K121" s="5" t="n"/>
      <c r="L121" s="6">
        <f>IF(I121="","",I121-K121)</f>
        <v/>
      </c>
      <c r="M121" s="4" t="n"/>
      <c r="N121" s="4" t="n"/>
      <c r="O121" s="4" t="n"/>
      <c r="P121" s="4" t="n"/>
      <c r="Q121" s="4" t="n"/>
      <c r="R121" s="4">
        <f>IF(I121="","",IF(L121&lt;=0,"Sí","No"))</f>
        <v/>
      </c>
      <c r="S121" s="4" t="n"/>
    </row>
    <row r="122">
      <c r="A122" s="7">
        <f>IF(B122="","","FC-"&amp;TEXT(ROW()-2,"0000"))</f>
        <v/>
      </c>
      <c r="B122" s="8" t="n"/>
      <c r="C122" s="8" t="n"/>
      <c r="D122" s="8" t="n"/>
      <c r="E122" s="8" t="n"/>
      <c r="F122" s="8" t="n"/>
      <c r="G122" s="8" t="n"/>
      <c r="H122" s="9" t="n"/>
      <c r="I122" s="9" t="n"/>
      <c r="J122" s="10">
        <f>IF(I122="","",I122*0.5)</f>
        <v/>
      </c>
      <c r="K122" s="9" t="n"/>
      <c r="L122" s="10">
        <f>IF(I122="","",I122-K122)</f>
        <v/>
      </c>
      <c r="M122" s="8" t="n"/>
      <c r="N122" s="8" t="n"/>
      <c r="O122" s="8" t="n"/>
      <c r="P122" s="8" t="n"/>
      <c r="Q122" s="8" t="n"/>
      <c r="R122" s="8">
        <f>IF(I122="","",IF(L122&lt;=0,"Sí","No"))</f>
        <v/>
      </c>
      <c r="S122" s="8" t="n"/>
    </row>
    <row r="123">
      <c r="A123" s="3">
        <f>IF(B123="","","FC-"&amp;TEXT(ROW()-2,"0000"))</f>
        <v/>
      </c>
      <c r="B123" s="4" t="n"/>
      <c r="C123" s="4" t="n"/>
      <c r="D123" s="4" t="n"/>
      <c r="E123" s="4" t="n"/>
      <c r="F123" s="4" t="n"/>
      <c r="G123" s="4" t="n"/>
      <c r="H123" s="5" t="n"/>
      <c r="I123" s="5" t="n"/>
      <c r="J123" s="6">
        <f>IF(I123="","",I123*0.5)</f>
        <v/>
      </c>
      <c r="K123" s="5" t="n"/>
      <c r="L123" s="6">
        <f>IF(I123="","",I123-K123)</f>
        <v/>
      </c>
      <c r="M123" s="4" t="n"/>
      <c r="N123" s="4" t="n"/>
      <c r="O123" s="4" t="n"/>
      <c r="P123" s="4" t="n"/>
      <c r="Q123" s="4" t="n"/>
      <c r="R123" s="4">
        <f>IF(I123="","",IF(L123&lt;=0,"Sí","No"))</f>
        <v/>
      </c>
      <c r="S123" s="4" t="n"/>
    </row>
    <row r="124">
      <c r="A124" s="7">
        <f>IF(B124="","","FC-"&amp;TEXT(ROW()-2,"0000"))</f>
        <v/>
      </c>
      <c r="B124" s="8" t="n"/>
      <c r="C124" s="8" t="n"/>
      <c r="D124" s="8" t="n"/>
      <c r="E124" s="8" t="n"/>
      <c r="F124" s="8" t="n"/>
      <c r="G124" s="8" t="n"/>
      <c r="H124" s="9" t="n"/>
      <c r="I124" s="9" t="n"/>
      <c r="J124" s="10">
        <f>IF(I124="","",I124*0.5)</f>
        <v/>
      </c>
      <c r="K124" s="9" t="n"/>
      <c r="L124" s="10">
        <f>IF(I124="","",I124-K124)</f>
        <v/>
      </c>
      <c r="M124" s="8" t="n"/>
      <c r="N124" s="8" t="n"/>
      <c r="O124" s="8" t="n"/>
      <c r="P124" s="8" t="n"/>
      <c r="Q124" s="8" t="n"/>
      <c r="R124" s="8">
        <f>IF(I124="","",IF(L124&lt;=0,"Sí","No"))</f>
        <v/>
      </c>
      <c r="S124" s="8" t="n"/>
    </row>
    <row r="125">
      <c r="A125" s="3">
        <f>IF(B125="","","FC-"&amp;TEXT(ROW()-2,"0000"))</f>
        <v/>
      </c>
      <c r="B125" s="4" t="n"/>
      <c r="C125" s="4" t="n"/>
      <c r="D125" s="4" t="n"/>
      <c r="E125" s="4" t="n"/>
      <c r="F125" s="4" t="n"/>
      <c r="G125" s="4" t="n"/>
      <c r="H125" s="5" t="n"/>
      <c r="I125" s="5" t="n"/>
      <c r="J125" s="6">
        <f>IF(I125="","",I125*0.5)</f>
        <v/>
      </c>
      <c r="K125" s="5" t="n"/>
      <c r="L125" s="6">
        <f>IF(I125="","",I125-K125)</f>
        <v/>
      </c>
      <c r="M125" s="4" t="n"/>
      <c r="N125" s="4" t="n"/>
      <c r="O125" s="4" t="n"/>
      <c r="P125" s="4" t="n"/>
      <c r="Q125" s="4" t="n"/>
      <c r="R125" s="4">
        <f>IF(I125="","",IF(L125&lt;=0,"Sí","No"))</f>
        <v/>
      </c>
      <c r="S125" s="4" t="n"/>
    </row>
    <row r="126">
      <c r="A126" s="7">
        <f>IF(B126="","","FC-"&amp;TEXT(ROW()-2,"0000"))</f>
        <v/>
      </c>
      <c r="B126" s="8" t="n"/>
      <c r="C126" s="8" t="n"/>
      <c r="D126" s="8" t="n"/>
      <c r="E126" s="8" t="n"/>
      <c r="F126" s="8" t="n"/>
      <c r="G126" s="8" t="n"/>
      <c r="H126" s="9" t="n"/>
      <c r="I126" s="9" t="n"/>
      <c r="J126" s="10">
        <f>IF(I126="","",I126*0.5)</f>
        <v/>
      </c>
      <c r="K126" s="9" t="n"/>
      <c r="L126" s="10">
        <f>IF(I126="","",I126-K126)</f>
        <v/>
      </c>
      <c r="M126" s="8" t="n"/>
      <c r="N126" s="8" t="n"/>
      <c r="O126" s="8" t="n"/>
      <c r="P126" s="8" t="n"/>
      <c r="Q126" s="8" t="n"/>
      <c r="R126" s="8">
        <f>IF(I126="","",IF(L126&lt;=0,"Sí","No"))</f>
        <v/>
      </c>
      <c r="S126" s="8" t="n"/>
    </row>
    <row r="127">
      <c r="A127" s="3">
        <f>IF(B127="","","FC-"&amp;TEXT(ROW()-2,"0000"))</f>
        <v/>
      </c>
      <c r="B127" s="4" t="n"/>
      <c r="C127" s="4" t="n"/>
      <c r="D127" s="4" t="n"/>
      <c r="E127" s="4" t="n"/>
      <c r="F127" s="4" t="n"/>
      <c r="G127" s="4" t="n"/>
      <c r="H127" s="5" t="n"/>
      <c r="I127" s="5" t="n"/>
      <c r="J127" s="6">
        <f>IF(I127="","",I127*0.5)</f>
        <v/>
      </c>
      <c r="K127" s="5" t="n"/>
      <c r="L127" s="6">
        <f>IF(I127="","",I127-K127)</f>
        <v/>
      </c>
      <c r="M127" s="4" t="n"/>
      <c r="N127" s="4" t="n"/>
      <c r="O127" s="4" t="n"/>
      <c r="P127" s="4" t="n"/>
      <c r="Q127" s="4" t="n"/>
      <c r="R127" s="4">
        <f>IF(I127="","",IF(L127&lt;=0,"Sí","No"))</f>
        <v/>
      </c>
      <c r="S127" s="4" t="n"/>
    </row>
    <row r="128">
      <c r="A128" s="7">
        <f>IF(B128="","","FC-"&amp;TEXT(ROW()-2,"0000"))</f>
        <v/>
      </c>
      <c r="B128" s="8" t="n"/>
      <c r="C128" s="8" t="n"/>
      <c r="D128" s="8" t="n"/>
      <c r="E128" s="8" t="n"/>
      <c r="F128" s="8" t="n"/>
      <c r="G128" s="8" t="n"/>
      <c r="H128" s="9" t="n"/>
      <c r="I128" s="9" t="n"/>
      <c r="J128" s="10">
        <f>IF(I128="","",I128*0.5)</f>
        <v/>
      </c>
      <c r="K128" s="9" t="n"/>
      <c r="L128" s="10">
        <f>IF(I128="","",I128-K128)</f>
        <v/>
      </c>
      <c r="M128" s="8" t="n"/>
      <c r="N128" s="8" t="n"/>
      <c r="O128" s="8" t="n"/>
      <c r="P128" s="8" t="n"/>
      <c r="Q128" s="8" t="n"/>
      <c r="R128" s="8">
        <f>IF(I128="","",IF(L128&lt;=0,"Sí","No"))</f>
        <v/>
      </c>
      <c r="S128" s="8" t="n"/>
    </row>
    <row r="129">
      <c r="A129" s="3">
        <f>IF(B129="","","FC-"&amp;TEXT(ROW()-2,"0000"))</f>
        <v/>
      </c>
      <c r="B129" s="4" t="n"/>
      <c r="C129" s="4" t="n"/>
      <c r="D129" s="4" t="n"/>
      <c r="E129" s="4" t="n"/>
      <c r="F129" s="4" t="n"/>
      <c r="G129" s="4" t="n"/>
      <c r="H129" s="5" t="n"/>
      <c r="I129" s="5" t="n"/>
      <c r="J129" s="6">
        <f>IF(I129="","",I129*0.5)</f>
        <v/>
      </c>
      <c r="K129" s="5" t="n"/>
      <c r="L129" s="6">
        <f>IF(I129="","",I129-K129)</f>
        <v/>
      </c>
      <c r="M129" s="4" t="n"/>
      <c r="N129" s="4" t="n"/>
      <c r="O129" s="4" t="n"/>
      <c r="P129" s="4" t="n"/>
      <c r="Q129" s="4" t="n"/>
      <c r="R129" s="4">
        <f>IF(I129="","",IF(L129&lt;=0,"Sí","No"))</f>
        <v/>
      </c>
      <c r="S129" s="4" t="n"/>
    </row>
    <row r="130">
      <c r="A130" s="7">
        <f>IF(B130="","","FC-"&amp;TEXT(ROW()-2,"0000"))</f>
        <v/>
      </c>
      <c r="B130" s="8" t="n"/>
      <c r="C130" s="8" t="n"/>
      <c r="D130" s="8" t="n"/>
      <c r="E130" s="8" t="n"/>
      <c r="F130" s="8" t="n"/>
      <c r="G130" s="8" t="n"/>
      <c r="H130" s="9" t="n"/>
      <c r="I130" s="9" t="n"/>
      <c r="J130" s="10">
        <f>IF(I130="","",I130*0.5)</f>
        <v/>
      </c>
      <c r="K130" s="9" t="n"/>
      <c r="L130" s="10">
        <f>IF(I130="","",I130-K130)</f>
        <v/>
      </c>
      <c r="M130" s="8" t="n"/>
      <c r="N130" s="8" t="n"/>
      <c r="O130" s="8" t="n"/>
      <c r="P130" s="8" t="n"/>
      <c r="Q130" s="8" t="n"/>
      <c r="R130" s="8">
        <f>IF(I130="","",IF(L130&lt;=0,"Sí","No"))</f>
        <v/>
      </c>
      <c r="S130" s="8" t="n"/>
    </row>
    <row r="131">
      <c r="A131" s="3">
        <f>IF(B131="","","FC-"&amp;TEXT(ROW()-2,"0000"))</f>
        <v/>
      </c>
      <c r="B131" s="4" t="n"/>
      <c r="C131" s="4" t="n"/>
      <c r="D131" s="4" t="n"/>
      <c r="E131" s="4" t="n"/>
      <c r="F131" s="4" t="n"/>
      <c r="G131" s="4" t="n"/>
      <c r="H131" s="5" t="n"/>
      <c r="I131" s="5" t="n"/>
      <c r="J131" s="6">
        <f>IF(I131="","",I131*0.5)</f>
        <v/>
      </c>
      <c r="K131" s="5" t="n"/>
      <c r="L131" s="6">
        <f>IF(I131="","",I131-K131)</f>
        <v/>
      </c>
      <c r="M131" s="4" t="n"/>
      <c r="N131" s="4" t="n"/>
      <c r="O131" s="4" t="n"/>
      <c r="P131" s="4" t="n"/>
      <c r="Q131" s="4" t="n"/>
      <c r="R131" s="4">
        <f>IF(I131="","",IF(L131&lt;=0,"Sí","No"))</f>
        <v/>
      </c>
      <c r="S131" s="4" t="n"/>
    </row>
    <row r="132">
      <c r="A132" s="7">
        <f>IF(B132="","","FC-"&amp;TEXT(ROW()-2,"0000"))</f>
        <v/>
      </c>
      <c r="B132" s="8" t="n"/>
      <c r="C132" s="8" t="n"/>
      <c r="D132" s="8" t="n"/>
      <c r="E132" s="8" t="n"/>
      <c r="F132" s="8" t="n"/>
      <c r="G132" s="8" t="n"/>
      <c r="H132" s="9" t="n"/>
      <c r="I132" s="9" t="n"/>
      <c r="J132" s="10">
        <f>IF(I132="","",I132*0.5)</f>
        <v/>
      </c>
      <c r="K132" s="9" t="n"/>
      <c r="L132" s="10">
        <f>IF(I132="","",I132-K132)</f>
        <v/>
      </c>
      <c r="M132" s="8" t="n"/>
      <c r="N132" s="8" t="n"/>
      <c r="O132" s="8" t="n"/>
      <c r="P132" s="8" t="n"/>
      <c r="Q132" s="8" t="n"/>
      <c r="R132" s="8">
        <f>IF(I132="","",IF(L132&lt;=0,"Sí","No"))</f>
        <v/>
      </c>
      <c r="S132" s="8" t="n"/>
    </row>
    <row r="133">
      <c r="A133" s="3">
        <f>IF(B133="","","FC-"&amp;TEXT(ROW()-2,"0000"))</f>
        <v/>
      </c>
      <c r="B133" s="4" t="n"/>
      <c r="C133" s="4" t="n"/>
      <c r="D133" s="4" t="n"/>
      <c r="E133" s="4" t="n"/>
      <c r="F133" s="4" t="n"/>
      <c r="G133" s="4" t="n"/>
      <c r="H133" s="5" t="n"/>
      <c r="I133" s="5" t="n"/>
      <c r="J133" s="6">
        <f>IF(I133="","",I133*0.5)</f>
        <v/>
      </c>
      <c r="K133" s="5" t="n"/>
      <c r="L133" s="6">
        <f>IF(I133="","",I133-K133)</f>
        <v/>
      </c>
      <c r="M133" s="4" t="n"/>
      <c r="N133" s="4" t="n"/>
      <c r="O133" s="4" t="n"/>
      <c r="P133" s="4" t="n"/>
      <c r="Q133" s="4" t="n"/>
      <c r="R133" s="4">
        <f>IF(I133="","",IF(L133&lt;=0,"Sí","No"))</f>
        <v/>
      </c>
      <c r="S133" s="4" t="n"/>
    </row>
    <row r="134">
      <c r="A134" s="7">
        <f>IF(B134="","","FC-"&amp;TEXT(ROW()-2,"0000"))</f>
        <v/>
      </c>
      <c r="B134" s="8" t="n"/>
      <c r="C134" s="8" t="n"/>
      <c r="D134" s="8" t="n"/>
      <c r="E134" s="8" t="n"/>
      <c r="F134" s="8" t="n"/>
      <c r="G134" s="8" t="n"/>
      <c r="H134" s="9" t="n"/>
      <c r="I134" s="9" t="n"/>
      <c r="J134" s="10">
        <f>IF(I134="","",I134*0.5)</f>
        <v/>
      </c>
      <c r="K134" s="9" t="n"/>
      <c r="L134" s="10">
        <f>IF(I134="","",I134-K134)</f>
        <v/>
      </c>
      <c r="M134" s="8" t="n"/>
      <c r="N134" s="8" t="n"/>
      <c r="O134" s="8" t="n"/>
      <c r="P134" s="8" t="n"/>
      <c r="Q134" s="8" t="n"/>
      <c r="R134" s="8">
        <f>IF(I134="","",IF(L134&lt;=0,"Sí","No"))</f>
        <v/>
      </c>
      <c r="S134" s="8" t="n"/>
    </row>
    <row r="135">
      <c r="A135" s="3">
        <f>IF(B135="","","FC-"&amp;TEXT(ROW()-2,"0000"))</f>
        <v/>
      </c>
      <c r="B135" s="4" t="n"/>
      <c r="C135" s="4" t="n"/>
      <c r="D135" s="4" t="n"/>
      <c r="E135" s="4" t="n"/>
      <c r="F135" s="4" t="n"/>
      <c r="G135" s="4" t="n"/>
      <c r="H135" s="5" t="n"/>
      <c r="I135" s="5" t="n"/>
      <c r="J135" s="6">
        <f>IF(I135="","",I135*0.5)</f>
        <v/>
      </c>
      <c r="K135" s="5" t="n"/>
      <c r="L135" s="6">
        <f>IF(I135="","",I135-K135)</f>
        <v/>
      </c>
      <c r="M135" s="4" t="n"/>
      <c r="N135" s="4" t="n"/>
      <c r="O135" s="4" t="n"/>
      <c r="P135" s="4" t="n"/>
      <c r="Q135" s="4" t="n"/>
      <c r="R135" s="4">
        <f>IF(I135="","",IF(L135&lt;=0,"Sí","No"))</f>
        <v/>
      </c>
      <c r="S135" s="4" t="n"/>
    </row>
    <row r="136">
      <c r="A136" s="7">
        <f>IF(B136="","","FC-"&amp;TEXT(ROW()-2,"0000"))</f>
        <v/>
      </c>
      <c r="B136" s="8" t="n"/>
      <c r="C136" s="8" t="n"/>
      <c r="D136" s="8" t="n"/>
      <c r="E136" s="8" t="n"/>
      <c r="F136" s="8" t="n"/>
      <c r="G136" s="8" t="n"/>
      <c r="H136" s="9" t="n"/>
      <c r="I136" s="9" t="n"/>
      <c r="J136" s="10">
        <f>IF(I136="","",I136*0.5)</f>
        <v/>
      </c>
      <c r="K136" s="9" t="n"/>
      <c r="L136" s="10">
        <f>IF(I136="","",I136-K136)</f>
        <v/>
      </c>
      <c r="M136" s="8" t="n"/>
      <c r="N136" s="8" t="n"/>
      <c r="O136" s="8" t="n"/>
      <c r="P136" s="8" t="n"/>
      <c r="Q136" s="8" t="n"/>
      <c r="R136" s="8">
        <f>IF(I136="","",IF(L136&lt;=0,"Sí","No"))</f>
        <v/>
      </c>
      <c r="S136" s="8" t="n"/>
    </row>
    <row r="137">
      <c r="A137" s="3">
        <f>IF(B137="","","FC-"&amp;TEXT(ROW()-2,"0000"))</f>
        <v/>
      </c>
      <c r="B137" s="4" t="n"/>
      <c r="C137" s="4" t="n"/>
      <c r="D137" s="4" t="n"/>
      <c r="E137" s="4" t="n"/>
      <c r="F137" s="4" t="n"/>
      <c r="G137" s="4" t="n"/>
      <c r="H137" s="5" t="n"/>
      <c r="I137" s="5" t="n"/>
      <c r="J137" s="6">
        <f>IF(I137="","",I137*0.5)</f>
        <v/>
      </c>
      <c r="K137" s="5" t="n"/>
      <c r="L137" s="6">
        <f>IF(I137="","",I137-K137)</f>
        <v/>
      </c>
      <c r="M137" s="4" t="n"/>
      <c r="N137" s="4" t="n"/>
      <c r="O137" s="4" t="n"/>
      <c r="P137" s="4" t="n"/>
      <c r="Q137" s="4" t="n"/>
      <c r="R137" s="4">
        <f>IF(I137="","",IF(L137&lt;=0,"Sí","No"))</f>
        <v/>
      </c>
      <c r="S137" s="4" t="n"/>
    </row>
    <row r="138">
      <c r="A138" s="7">
        <f>IF(B138="","","FC-"&amp;TEXT(ROW()-2,"0000"))</f>
        <v/>
      </c>
      <c r="B138" s="8" t="n"/>
      <c r="C138" s="8" t="n"/>
      <c r="D138" s="8" t="n"/>
      <c r="E138" s="8" t="n"/>
      <c r="F138" s="8" t="n"/>
      <c r="G138" s="8" t="n"/>
      <c r="H138" s="9" t="n"/>
      <c r="I138" s="9" t="n"/>
      <c r="J138" s="10">
        <f>IF(I138="","",I138*0.5)</f>
        <v/>
      </c>
      <c r="K138" s="9" t="n"/>
      <c r="L138" s="10">
        <f>IF(I138="","",I138-K138)</f>
        <v/>
      </c>
      <c r="M138" s="8" t="n"/>
      <c r="N138" s="8" t="n"/>
      <c r="O138" s="8" t="n"/>
      <c r="P138" s="8" t="n"/>
      <c r="Q138" s="8" t="n"/>
      <c r="R138" s="8">
        <f>IF(I138="","",IF(L138&lt;=0,"Sí","No"))</f>
        <v/>
      </c>
      <c r="S138" s="8" t="n"/>
    </row>
    <row r="139">
      <c r="A139" s="3">
        <f>IF(B139="","","FC-"&amp;TEXT(ROW()-2,"0000"))</f>
        <v/>
      </c>
      <c r="B139" s="4" t="n"/>
      <c r="C139" s="4" t="n"/>
      <c r="D139" s="4" t="n"/>
      <c r="E139" s="4" t="n"/>
      <c r="F139" s="4" t="n"/>
      <c r="G139" s="4" t="n"/>
      <c r="H139" s="5" t="n"/>
      <c r="I139" s="5" t="n"/>
      <c r="J139" s="6">
        <f>IF(I139="","",I139*0.5)</f>
        <v/>
      </c>
      <c r="K139" s="5" t="n"/>
      <c r="L139" s="6">
        <f>IF(I139="","",I139-K139)</f>
        <v/>
      </c>
      <c r="M139" s="4" t="n"/>
      <c r="N139" s="4" t="n"/>
      <c r="O139" s="4" t="n"/>
      <c r="P139" s="4" t="n"/>
      <c r="Q139" s="4" t="n"/>
      <c r="R139" s="4">
        <f>IF(I139="","",IF(L139&lt;=0,"Sí","No"))</f>
        <v/>
      </c>
      <c r="S139" s="4" t="n"/>
    </row>
    <row r="140">
      <c r="A140" s="7">
        <f>IF(B140="","","FC-"&amp;TEXT(ROW()-2,"0000"))</f>
        <v/>
      </c>
      <c r="B140" s="8" t="n"/>
      <c r="C140" s="8" t="n"/>
      <c r="D140" s="8" t="n"/>
      <c r="E140" s="8" t="n"/>
      <c r="F140" s="8" t="n"/>
      <c r="G140" s="8" t="n"/>
      <c r="H140" s="9" t="n"/>
      <c r="I140" s="9" t="n"/>
      <c r="J140" s="10">
        <f>IF(I140="","",I140*0.5)</f>
        <v/>
      </c>
      <c r="K140" s="9" t="n"/>
      <c r="L140" s="10">
        <f>IF(I140="","",I140-K140)</f>
        <v/>
      </c>
      <c r="M140" s="8" t="n"/>
      <c r="N140" s="8" t="n"/>
      <c r="O140" s="8" t="n"/>
      <c r="P140" s="8" t="n"/>
      <c r="Q140" s="8" t="n"/>
      <c r="R140" s="8">
        <f>IF(I140="","",IF(L140&lt;=0,"Sí","No"))</f>
        <v/>
      </c>
      <c r="S140" s="8" t="n"/>
    </row>
    <row r="141">
      <c r="A141" s="3">
        <f>IF(B141="","","FC-"&amp;TEXT(ROW()-2,"0000"))</f>
        <v/>
      </c>
      <c r="B141" s="4" t="n"/>
      <c r="C141" s="4" t="n"/>
      <c r="D141" s="4" t="n"/>
      <c r="E141" s="4" t="n"/>
      <c r="F141" s="4" t="n"/>
      <c r="G141" s="4" t="n"/>
      <c r="H141" s="5" t="n"/>
      <c r="I141" s="5" t="n"/>
      <c r="J141" s="6">
        <f>IF(I141="","",I141*0.5)</f>
        <v/>
      </c>
      <c r="K141" s="5" t="n"/>
      <c r="L141" s="6">
        <f>IF(I141="","",I141-K141)</f>
        <v/>
      </c>
      <c r="M141" s="4" t="n"/>
      <c r="N141" s="4" t="n"/>
      <c r="O141" s="4" t="n"/>
      <c r="P141" s="4" t="n"/>
      <c r="Q141" s="4" t="n"/>
      <c r="R141" s="4">
        <f>IF(I141="","",IF(L141&lt;=0,"Sí","No"))</f>
        <v/>
      </c>
      <c r="S141" s="4" t="n"/>
    </row>
    <row r="142">
      <c r="A142" s="7">
        <f>IF(B142="","","FC-"&amp;TEXT(ROW()-2,"0000"))</f>
        <v/>
      </c>
      <c r="B142" s="8" t="n"/>
      <c r="C142" s="8" t="n"/>
      <c r="D142" s="8" t="n"/>
      <c r="E142" s="8" t="n"/>
      <c r="F142" s="8" t="n"/>
      <c r="G142" s="8" t="n"/>
      <c r="H142" s="9" t="n"/>
      <c r="I142" s="9" t="n"/>
      <c r="J142" s="10">
        <f>IF(I142="","",I142*0.5)</f>
        <v/>
      </c>
      <c r="K142" s="9" t="n"/>
      <c r="L142" s="10">
        <f>IF(I142="","",I142-K142)</f>
        <v/>
      </c>
      <c r="M142" s="8" t="n"/>
      <c r="N142" s="8" t="n"/>
      <c r="O142" s="8" t="n"/>
      <c r="P142" s="8" t="n"/>
      <c r="Q142" s="8" t="n"/>
      <c r="R142" s="8">
        <f>IF(I142="","",IF(L142&lt;=0,"Sí","No"))</f>
        <v/>
      </c>
      <c r="S142" s="8" t="n"/>
    </row>
    <row r="143">
      <c r="A143" s="3">
        <f>IF(B143="","","FC-"&amp;TEXT(ROW()-2,"0000"))</f>
        <v/>
      </c>
      <c r="B143" s="4" t="n"/>
      <c r="C143" s="4" t="n"/>
      <c r="D143" s="4" t="n"/>
      <c r="E143" s="4" t="n"/>
      <c r="F143" s="4" t="n"/>
      <c r="G143" s="4" t="n"/>
      <c r="H143" s="5" t="n"/>
      <c r="I143" s="5" t="n"/>
      <c r="J143" s="6">
        <f>IF(I143="","",I143*0.5)</f>
        <v/>
      </c>
      <c r="K143" s="5" t="n"/>
      <c r="L143" s="6">
        <f>IF(I143="","",I143-K143)</f>
        <v/>
      </c>
      <c r="M143" s="4" t="n"/>
      <c r="N143" s="4" t="n"/>
      <c r="O143" s="4" t="n"/>
      <c r="P143" s="4" t="n"/>
      <c r="Q143" s="4" t="n"/>
      <c r="R143" s="4">
        <f>IF(I143="","",IF(L143&lt;=0,"Sí","No"))</f>
        <v/>
      </c>
      <c r="S143" s="4" t="n"/>
    </row>
    <row r="144">
      <c r="A144" s="7">
        <f>IF(B144="","","FC-"&amp;TEXT(ROW()-2,"0000"))</f>
        <v/>
      </c>
      <c r="B144" s="8" t="n"/>
      <c r="C144" s="8" t="n"/>
      <c r="D144" s="8" t="n"/>
      <c r="E144" s="8" t="n"/>
      <c r="F144" s="8" t="n"/>
      <c r="G144" s="8" t="n"/>
      <c r="H144" s="9" t="n"/>
      <c r="I144" s="9" t="n"/>
      <c r="J144" s="10">
        <f>IF(I144="","",I144*0.5)</f>
        <v/>
      </c>
      <c r="K144" s="9" t="n"/>
      <c r="L144" s="10">
        <f>IF(I144="","",I144-K144)</f>
        <v/>
      </c>
      <c r="M144" s="8" t="n"/>
      <c r="N144" s="8" t="n"/>
      <c r="O144" s="8" t="n"/>
      <c r="P144" s="8" t="n"/>
      <c r="Q144" s="8" t="n"/>
      <c r="R144" s="8">
        <f>IF(I144="","",IF(L144&lt;=0,"Sí","No"))</f>
        <v/>
      </c>
      <c r="S144" s="8" t="n"/>
    </row>
    <row r="145">
      <c r="A145" s="3">
        <f>IF(B145="","","FC-"&amp;TEXT(ROW()-2,"0000"))</f>
        <v/>
      </c>
      <c r="B145" s="4" t="n"/>
      <c r="C145" s="4" t="n"/>
      <c r="D145" s="4" t="n"/>
      <c r="E145" s="4" t="n"/>
      <c r="F145" s="4" t="n"/>
      <c r="G145" s="4" t="n"/>
      <c r="H145" s="5" t="n"/>
      <c r="I145" s="5" t="n"/>
      <c r="J145" s="6">
        <f>IF(I145="","",I145*0.5)</f>
        <v/>
      </c>
      <c r="K145" s="5" t="n"/>
      <c r="L145" s="6">
        <f>IF(I145="","",I145-K145)</f>
        <v/>
      </c>
      <c r="M145" s="4" t="n"/>
      <c r="N145" s="4" t="n"/>
      <c r="O145" s="4" t="n"/>
      <c r="P145" s="4" t="n"/>
      <c r="Q145" s="4" t="n"/>
      <c r="R145" s="4">
        <f>IF(I145="","",IF(L145&lt;=0,"Sí","No"))</f>
        <v/>
      </c>
      <c r="S145" s="4" t="n"/>
    </row>
    <row r="146">
      <c r="A146" s="7">
        <f>IF(B146="","","FC-"&amp;TEXT(ROW()-2,"0000"))</f>
        <v/>
      </c>
      <c r="B146" s="8" t="n"/>
      <c r="C146" s="8" t="n"/>
      <c r="D146" s="8" t="n"/>
      <c r="E146" s="8" t="n"/>
      <c r="F146" s="8" t="n"/>
      <c r="G146" s="8" t="n"/>
      <c r="H146" s="9" t="n"/>
      <c r="I146" s="9" t="n"/>
      <c r="J146" s="10">
        <f>IF(I146="","",I146*0.5)</f>
        <v/>
      </c>
      <c r="K146" s="9" t="n"/>
      <c r="L146" s="10">
        <f>IF(I146="","",I146-K146)</f>
        <v/>
      </c>
      <c r="M146" s="8" t="n"/>
      <c r="N146" s="8" t="n"/>
      <c r="O146" s="8" t="n"/>
      <c r="P146" s="8" t="n"/>
      <c r="Q146" s="8" t="n"/>
      <c r="R146" s="8">
        <f>IF(I146="","",IF(L146&lt;=0,"Sí","No"))</f>
        <v/>
      </c>
      <c r="S146" s="8" t="n"/>
    </row>
    <row r="147">
      <c r="A147" s="3">
        <f>IF(B147="","","FC-"&amp;TEXT(ROW()-2,"0000"))</f>
        <v/>
      </c>
      <c r="B147" s="4" t="n"/>
      <c r="C147" s="4" t="n"/>
      <c r="D147" s="4" t="n"/>
      <c r="E147" s="4" t="n"/>
      <c r="F147" s="4" t="n"/>
      <c r="G147" s="4" t="n"/>
      <c r="H147" s="5" t="n"/>
      <c r="I147" s="5" t="n"/>
      <c r="J147" s="6">
        <f>IF(I147="","",I147*0.5)</f>
        <v/>
      </c>
      <c r="K147" s="5" t="n"/>
      <c r="L147" s="6">
        <f>IF(I147="","",I147-K147)</f>
        <v/>
      </c>
      <c r="M147" s="4" t="n"/>
      <c r="N147" s="4" t="n"/>
      <c r="O147" s="4" t="n"/>
      <c r="P147" s="4" t="n"/>
      <c r="Q147" s="4" t="n"/>
      <c r="R147" s="4">
        <f>IF(I147="","",IF(L147&lt;=0,"Sí","No"))</f>
        <v/>
      </c>
      <c r="S147" s="4" t="n"/>
    </row>
    <row r="148">
      <c r="A148" s="7">
        <f>IF(B148="","","FC-"&amp;TEXT(ROW()-2,"0000"))</f>
        <v/>
      </c>
      <c r="B148" s="8" t="n"/>
      <c r="C148" s="8" t="n"/>
      <c r="D148" s="8" t="n"/>
      <c r="E148" s="8" t="n"/>
      <c r="F148" s="8" t="n"/>
      <c r="G148" s="8" t="n"/>
      <c r="H148" s="9" t="n"/>
      <c r="I148" s="9" t="n"/>
      <c r="J148" s="10">
        <f>IF(I148="","",I148*0.5)</f>
        <v/>
      </c>
      <c r="K148" s="9" t="n"/>
      <c r="L148" s="10">
        <f>IF(I148="","",I148-K148)</f>
        <v/>
      </c>
      <c r="M148" s="8" t="n"/>
      <c r="N148" s="8" t="n"/>
      <c r="O148" s="8" t="n"/>
      <c r="P148" s="8" t="n"/>
      <c r="Q148" s="8" t="n"/>
      <c r="R148" s="8">
        <f>IF(I148="","",IF(L148&lt;=0,"Sí","No"))</f>
        <v/>
      </c>
      <c r="S148" s="8" t="n"/>
    </row>
    <row r="149">
      <c r="A149" s="3">
        <f>IF(B149="","","FC-"&amp;TEXT(ROW()-2,"0000"))</f>
        <v/>
      </c>
      <c r="B149" s="4" t="n"/>
      <c r="C149" s="4" t="n"/>
      <c r="D149" s="4" t="n"/>
      <c r="E149" s="4" t="n"/>
      <c r="F149" s="4" t="n"/>
      <c r="G149" s="4" t="n"/>
      <c r="H149" s="5" t="n"/>
      <c r="I149" s="5" t="n"/>
      <c r="J149" s="6">
        <f>IF(I149="","",I149*0.5)</f>
        <v/>
      </c>
      <c r="K149" s="5" t="n"/>
      <c r="L149" s="6">
        <f>IF(I149="","",I149-K149)</f>
        <v/>
      </c>
      <c r="M149" s="4" t="n"/>
      <c r="N149" s="4" t="n"/>
      <c r="O149" s="4" t="n"/>
      <c r="P149" s="4" t="n"/>
      <c r="Q149" s="4" t="n"/>
      <c r="R149" s="4">
        <f>IF(I149="","",IF(L149&lt;=0,"Sí","No"))</f>
        <v/>
      </c>
      <c r="S149" s="4" t="n"/>
    </row>
    <row r="150">
      <c r="A150" s="7">
        <f>IF(B150="","","FC-"&amp;TEXT(ROW()-2,"0000"))</f>
        <v/>
      </c>
      <c r="B150" s="8" t="n"/>
      <c r="C150" s="8" t="n"/>
      <c r="D150" s="8" t="n"/>
      <c r="E150" s="8" t="n"/>
      <c r="F150" s="8" t="n"/>
      <c r="G150" s="8" t="n"/>
      <c r="H150" s="9" t="n"/>
      <c r="I150" s="9" t="n"/>
      <c r="J150" s="10">
        <f>IF(I150="","",I150*0.5)</f>
        <v/>
      </c>
      <c r="K150" s="9" t="n"/>
      <c r="L150" s="10">
        <f>IF(I150="","",I150-K150)</f>
        <v/>
      </c>
      <c r="M150" s="8" t="n"/>
      <c r="N150" s="8" t="n"/>
      <c r="O150" s="8" t="n"/>
      <c r="P150" s="8" t="n"/>
      <c r="Q150" s="8" t="n"/>
      <c r="R150" s="8">
        <f>IF(I150="","",IF(L150&lt;=0,"Sí","No"))</f>
        <v/>
      </c>
      <c r="S150" s="8" t="n"/>
    </row>
    <row r="151">
      <c r="A151" s="3">
        <f>IF(B151="","","FC-"&amp;TEXT(ROW()-2,"0000"))</f>
        <v/>
      </c>
      <c r="B151" s="4" t="n"/>
      <c r="C151" s="4" t="n"/>
      <c r="D151" s="4" t="n"/>
      <c r="E151" s="4" t="n"/>
      <c r="F151" s="4" t="n"/>
      <c r="G151" s="4" t="n"/>
      <c r="H151" s="5" t="n"/>
      <c r="I151" s="5" t="n"/>
      <c r="J151" s="6">
        <f>IF(I151="","",I151*0.5)</f>
        <v/>
      </c>
      <c r="K151" s="5" t="n"/>
      <c r="L151" s="6">
        <f>IF(I151="","",I151-K151)</f>
        <v/>
      </c>
      <c r="M151" s="4" t="n"/>
      <c r="N151" s="4" t="n"/>
      <c r="O151" s="4" t="n"/>
      <c r="P151" s="4" t="n"/>
      <c r="Q151" s="4" t="n"/>
      <c r="R151" s="4">
        <f>IF(I151="","",IF(L151&lt;=0,"Sí","No"))</f>
        <v/>
      </c>
      <c r="S151" s="4" t="n"/>
    </row>
    <row r="152">
      <c r="A152" s="7">
        <f>IF(B152="","","FC-"&amp;TEXT(ROW()-2,"0000"))</f>
        <v/>
      </c>
      <c r="B152" s="8" t="n"/>
      <c r="C152" s="8" t="n"/>
      <c r="D152" s="8" t="n"/>
      <c r="E152" s="8" t="n"/>
      <c r="F152" s="8" t="n"/>
      <c r="G152" s="8" t="n"/>
      <c r="H152" s="9" t="n"/>
      <c r="I152" s="9" t="n"/>
      <c r="J152" s="10">
        <f>IF(I152="","",I152*0.5)</f>
        <v/>
      </c>
      <c r="K152" s="9" t="n"/>
      <c r="L152" s="10">
        <f>IF(I152="","",I152-K152)</f>
        <v/>
      </c>
      <c r="M152" s="8" t="n"/>
      <c r="N152" s="8" t="n"/>
      <c r="O152" s="8" t="n"/>
      <c r="P152" s="8" t="n"/>
      <c r="Q152" s="8" t="n"/>
      <c r="R152" s="8">
        <f>IF(I152="","",IF(L152&lt;=0,"Sí","No"))</f>
        <v/>
      </c>
      <c r="S152" s="8" t="n"/>
    </row>
    <row r="153">
      <c r="A153" s="3">
        <f>IF(B153="","","FC-"&amp;TEXT(ROW()-2,"0000"))</f>
        <v/>
      </c>
      <c r="B153" s="4" t="n"/>
      <c r="C153" s="4" t="n"/>
      <c r="D153" s="4" t="n"/>
      <c r="E153" s="4" t="n"/>
      <c r="F153" s="4" t="n"/>
      <c r="G153" s="4" t="n"/>
      <c r="H153" s="5" t="n"/>
      <c r="I153" s="5" t="n"/>
      <c r="J153" s="6">
        <f>IF(I153="","",I153*0.5)</f>
        <v/>
      </c>
      <c r="K153" s="5" t="n"/>
      <c r="L153" s="6">
        <f>IF(I153="","",I153-K153)</f>
        <v/>
      </c>
      <c r="M153" s="4" t="n"/>
      <c r="N153" s="4" t="n"/>
      <c r="O153" s="4" t="n"/>
      <c r="P153" s="4" t="n"/>
      <c r="Q153" s="4" t="n"/>
      <c r="R153" s="4">
        <f>IF(I153="","",IF(L153&lt;=0,"Sí","No"))</f>
        <v/>
      </c>
      <c r="S153" s="4" t="n"/>
    </row>
    <row r="154">
      <c r="A154" s="7">
        <f>IF(B154="","","FC-"&amp;TEXT(ROW()-2,"0000"))</f>
        <v/>
      </c>
      <c r="B154" s="8" t="n"/>
      <c r="C154" s="8" t="n"/>
      <c r="D154" s="8" t="n"/>
      <c r="E154" s="8" t="n"/>
      <c r="F154" s="8" t="n"/>
      <c r="G154" s="8" t="n"/>
      <c r="H154" s="9" t="n"/>
      <c r="I154" s="9" t="n"/>
      <c r="J154" s="10">
        <f>IF(I154="","",I154*0.5)</f>
        <v/>
      </c>
      <c r="K154" s="9" t="n"/>
      <c r="L154" s="10">
        <f>IF(I154="","",I154-K154)</f>
        <v/>
      </c>
      <c r="M154" s="8" t="n"/>
      <c r="N154" s="8" t="n"/>
      <c r="O154" s="8" t="n"/>
      <c r="P154" s="8" t="n"/>
      <c r="Q154" s="8" t="n"/>
      <c r="R154" s="8">
        <f>IF(I154="","",IF(L154&lt;=0,"Sí","No"))</f>
        <v/>
      </c>
      <c r="S154" s="8" t="n"/>
    </row>
    <row r="155">
      <c r="A155" s="3">
        <f>IF(B155="","","FC-"&amp;TEXT(ROW()-2,"0000"))</f>
        <v/>
      </c>
      <c r="B155" s="4" t="n"/>
      <c r="C155" s="4" t="n"/>
      <c r="D155" s="4" t="n"/>
      <c r="E155" s="4" t="n"/>
      <c r="F155" s="4" t="n"/>
      <c r="G155" s="4" t="n"/>
      <c r="H155" s="5" t="n"/>
      <c r="I155" s="5" t="n"/>
      <c r="J155" s="6">
        <f>IF(I155="","",I155*0.5)</f>
        <v/>
      </c>
      <c r="K155" s="5" t="n"/>
      <c r="L155" s="6">
        <f>IF(I155="","",I155-K155)</f>
        <v/>
      </c>
      <c r="M155" s="4" t="n"/>
      <c r="N155" s="4" t="n"/>
      <c r="O155" s="4" t="n"/>
      <c r="P155" s="4" t="n"/>
      <c r="Q155" s="4" t="n"/>
      <c r="R155" s="4">
        <f>IF(I155="","",IF(L155&lt;=0,"Sí","No"))</f>
        <v/>
      </c>
      <c r="S155" s="4" t="n"/>
    </row>
    <row r="156">
      <c r="A156" s="7">
        <f>IF(B156="","","FC-"&amp;TEXT(ROW()-2,"0000"))</f>
        <v/>
      </c>
      <c r="B156" s="8" t="n"/>
      <c r="C156" s="8" t="n"/>
      <c r="D156" s="8" t="n"/>
      <c r="E156" s="8" t="n"/>
      <c r="F156" s="8" t="n"/>
      <c r="G156" s="8" t="n"/>
      <c r="H156" s="9" t="n"/>
      <c r="I156" s="9" t="n"/>
      <c r="J156" s="10">
        <f>IF(I156="","",I156*0.5)</f>
        <v/>
      </c>
      <c r="K156" s="9" t="n"/>
      <c r="L156" s="10">
        <f>IF(I156="","",I156-K156)</f>
        <v/>
      </c>
      <c r="M156" s="8" t="n"/>
      <c r="N156" s="8" t="n"/>
      <c r="O156" s="8" t="n"/>
      <c r="P156" s="8" t="n"/>
      <c r="Q156" s="8" t="n"/>
      <c r="R156" s="8">
        <f>IF(I156="","",IF(L156&lt;=0,"Sí","No"))</f>
        <v/>
      </c>
      <c r="S156" s="8" t="n"/>
    </row>
    <row r="157">
      <c r="A157" s="3">
        <f>IF(B157="","","FC-"&amp;TEXT(ROW()-2,"0000"))</f>
        <v/>
      </c>
      <c r="B157" s="4" t="n"/>
      <c r="C157" s="4" t="n"/>
      <c r="D157" s="4" t="n"/>
      <c r="E157" s="4" t="n"/>
      <c r="F157" s="4" t="n"/>
      <c r="G157" s="4" t="n"/>
      <c r="H157" s="5" t="n"/>
      <c r="I157" s="5" t="n"/>
      <c r="J157" s="6">
        <f>IF(I157="","",I157*0.5)</f>
        <v/>
      </c>
      <c r="K157" s="5" t="n"/>
      <c r="L157" s="6">
        <f>IF(I157="","",I157-K157)</f>
        <v/>
      </c>
      <c r="M157" s="4" t="n"/>
      <c r="N157" s="4" t="n"/>
      <c r="O157" s="4" t="n"/>
      <c r="P157" s="4" t="n"/>
      <c r="Q157" s="4" t="n"/>
      <c r="R157" s="4">
        <f>IF(I157="","",IF(L157&lt;=0,"Sí","No"))</f>
        <v/>
      </c>
      <c r="S157" s="4" t="n"/>
    </row>
    <row r="158">
      <c r="A158" s="7">
        <f>IF(B158="","","FC-"&amp;TEXT(ROW()-2,"0000"))</f>
        <v/>
      </c>
      <c r="B158" s="8" t="n"/>
      <c r="C158" s="8" t="n"/>
      <c r="D158" s="8" t="n"/>
      <c r="E158" s="8" t="n"/>
      <c r="F158" s="8" t="n"/>
      <c r="G158" s="8" t="n"/>
      <c r="H158" s="9" t="n"/>
      <c r="I158" s="9" t="n"/>
      <c r="J158" s="10">
        <f>IF(I158="","",I158*0.5)</f>
        <v/>
      </c>
      <c r="K158" s="9" t="n"/>
      <c r="L158" s="10">
        <f>IF(I158="","",I158-K158)</f>
        <v/>
      </c>
      <c r="M158" s="8" t="n"/>
      <c r="N158" s="8" t="n"/>
      <c r="O158" s="8" t="n"/>
      <c r="P158" s="8" t="n"/>
      <c r="Q158" s="8" t="n"/>
      <c r="R158" s="8">
        <f>IF(I158="","",IF(L158&lt;=0,"Sí","No"))</f>
        <v/>
      </c>
      <c r="S158" s="8" t="n"/>
    </row>
    <row r="159">
      <c r="A159" s="3">
        <f>IF(B159="","","FC-"&amp;TEXT(ROW()-2,"0000"))</f>
        <v/>
      </c>
      <c r="B159" s="4" t="n"/>
      <c r="C159" s="4" t="n"/>
      <c r="D159" s="4" t="n"/>
      <c r="E159" s="4" t="n"/>
      <c r="F159" s="4" t="n"/>
      <c r="G159" s="4" t="n"/>
      <c r="H159" s="5" t="n"/>
      <c r="I159" s="5" t="n"/>
      <c r="J159" s="6">
        <f>IF(I159="","",I159*0.5)</f>
        <v/>
      </c>
      <c r="K159" s="5" t="n"/>
      <c r="L159" s="6">
        <f>IF(I159="","",I159-K159)</f>
        <v/>
      </c>
      <c r="M159" s="4" t="n"/>
      <c r="N159" s="4" t="n"/>
      <c r="O159" s="4" t="n"/>
      <c r="P159" s="4" t="n"/>
      <c r="Q159" s="4" t="n"/>
      <c r="R159" s="4">
        <f>IF(I159="","",IF(L159&lt;=0,"Sí","No"))</f>
        <v/>
      </c>
      <c r="S159" s="4" t="n"/>
    </row>
    <row r="160">
      <c r="A160" s="7">
        <f>IF(B160="","","FC-"&amp;TEXT(ROW()-2,"0000"))</f>
        <v/>
      </c>
      <c r="B160" s="8" t="n"/>
      <c r="C160" s="8" t="n"/>
      <c r="D160" s="8" t="n"/>
      <c r="E160" s="8" t="n"/>
      <c r="F160" s="8" t="n"/>
      <c r="G160" s="8" t="n"/>
      <c r="H160" s="9" t="n"/>
      <c r="I160" s="9" t="n"/>
      <c r="J160" s="10">
        <f>IF(I160="","",I160*0.5)</f>
        <v/>
      </c>
      <c r="K160" s="9" t="n"/>
      <c r="L160" s="10">
        <f>IF(I160="","",I160-K160)</f>
        <v/>
      </c>
      <c r="M160" s="8" t="n"/>
      <c r="N160" s="8" t="n"/>
      <c r="O160" s="8" t="n"/>
      <c r="P160" s="8" t="n"/>
      <c r="Q160" s="8" t="n"/>
      <c r="R160" s="8">
        <f>IF(I160="","",IF(L160&lt;=0,"Sí","No"))</f>
        <v/>
      </c>
      <c r="S160" s="8" t="n"/>
    </row>
    <row r="161">
      <c r="A161" s="3">
        <f>IF(B161="","","FC-"&amp;TEXT(ROW()-2,"0000"))</f>
        <v/>
      </c>
      <c r="B161" s="4" t="n"/>
      <c r="C161" s="4" t="n"/>
      <c r="D161" s="4" t="n"/>
      <c r="E161" s="4" t="n"/>
      <c r="F161" s="4" t="n"/>
      <c r="G161" s="4" t="n"/>
      <c r="H161" s="5" t="n"/>
      <c r="I161" s="5" t="n"/>
      <c r="J161" s="6">
        <f>IF(I161="","",I161*0.5)</f>
        <v/>
      </c>
      <c r="K161" s="5" t="n"/>
      <c r="L161" s="6">
        <f>IF(I161="","",I161-K161)</f>
        <v/>
      </c>
      <c r="M161" s="4" t="n"/>
      <c r="N161" s="4" t="n"/>
      <c r="O161" s="4" t="n"/>
      <c r="P161" s="4" t="n"/>
      <c r="Q161" s="4" t="n"/>
      <c r="R161" s="4">
        <f>IF(I161="","",IF(L161&lt;=0,"Sí","No"))</f>
        <v/>
      </c>
      <c r="S161" s="4" t="n"/>
    </row>
    <row r="162">
      <c r="A162" s="7">
        <f>IF(B162="","","FC-"&amp;TEXT(ROW()-2,"0000"))</f>
        <v/>
      </c>
      <c r="B162" s="8" t="n"/>
      <c r="C162" s="8" t="n"/>
      <c r="D162" s="8" t="n"/>
      <c r="E162" s="8" t="n"/>
      <c r="F162" s="8" t="n"/>
      <c r="G162" s="8" t="n"/>
      <c r="H162" s="9" t="n"/>
      <c r="I162" s="9" t="n"/>
      <c r="J162" s="10">
        <f>IF(I162="","",I162*0.5)</f>
        <v/>
      </c>
      <c r="K162" s="9" t="n"/>
      <c r="L162" s="10">
        <f>IF(I162="","",I162-K162)</f>
        <v/>
      </c>
      <c r="M162" s="8" t="n"/>
      <c r="N162" s="8" t="n"/>
      <c r="O162" s="8" t="n"/>
      <c r="P162" s="8" t="n"/>
      <c r="Q162" s="8" t="n"/>
      <c r="R162" s="8">
        <f>IF(I162="","",IF(L162&lt;=0,"Sí","No"))</f>
        <v/>
      </c>
      <c r="S162" s="8" t="n"/>
    </row>
    <row r="163">
      <c r="A163" s="3">
        <f>IF(B163="","","FC-"&amp;TEXT(ROW()-2,"0000"))</f>
        <v/>
      </c>
      <c r="B163" s="4" t="n"/>
      <c r="C163" s="4" t="n"/>
      <c r="D163" s="4" t="n"/>
      <c r="E163" s="4" t="n"/>
      <c r="F163" s="4" t="n"/>
      <c r="G163" s="4" t="n"/>
      <c r="H163" s="5" t="n"/>
      <c r="I163" s="5" t="n"/>
      <c r="J163" s="6">
        <f>IF(I163="","",I163*0.5)</f>
        <v/>
      </c>
      <c r="K163" s="5" t="n"/>
      <c r="L163" s="6">
        <f>IF(I163="","",I163-K163)</f>
        <v/>
      </c>
      <c r="M163" s="4" t="n"/>
      <c r="N163" s="4" t="n"/>
      <c r="O163" s="4" t="n"/>
      <c r="P163" s="4" t="n"/>
      <c r="Q163" s="4" t="n"/>
      <c r="R163" s="4">
        <f>IF(I163="","",IF(L163&lt;=0,"Sí","No"))</f>
        <v/>
      </c>
      <c r="S163" s="4" t="n"/>
    </row>
    <row r="164">
      <c r="A164" s="7">
        <f>IF(B164="","","FC-"&amp;TEXT(ROW()-2,"0000"))</f>
        <v/>
      </c>
      <c r="B164" s="8" t="n"/>
      <c r="C164" s="8" t="n"/>
      <c r="D164" s="8" t="n"/>
      <c r="E164" s="8" t="n"/>
      <c r="F164" s="8" t="n"/>
      <c r="G164" s="8" t="n"/>
      <c r="H164" s="9" t="n"/>
      <c r="I164" s="9" t="n"/>
      <c r="J164" s="10">
        <f>IF(I164="","",I164*0.5)</f>
        <v/>
      </c>
      <c r="K164" s="9" t="n"/>
      <c r="L164" s="10">
        <f>IF(I164="","",I164-K164)</f>
        <v/>
      </c>
      <c r="M164" s="8" t="n"/>
      <c r="N164" s="8" t="n"/>
      <c r="O164" s="8" t="n"/>
      <c r="P164" s="8" t="n"/>
      <c r="Q164" s="8" t="n"/>
      <c r="R164" s="8">
        <f>IF(I164="","",IF(L164&lt;=0,"Sí","No"))</f>
        <v/>
      </c>
      <c r="S164" s="8" t="n"/>
    </row>
    <row r="165">
      <c r="A165" s="3">
        <f>IF(B165="","","FC-"&amp;TEXT(ROW()-2,"0000"))</f>
        <v/>
      </c>
      <c r="B165" s="4" t="n"/>
      <c r="C165" s="4" t="n"/>
      <c r="D165" s="4" t="n"/>
      <c r="E165" s="4" t="n"/>
      <c r="F165" s="4" t="n"/>
      <c r="G165" s="4" t="n"/>
      <c r="H165" s="5" t="n"/>
      <c r="I165" s="5" t="n"/>
      <c r="J165" s="6">
        <f>IF(I165="","",I165*0.5)</f>
        <v/>
      </c>
      <c r="K165" s="5" t="n"/>
      <c r="L165" s="6">
        <f>IF(I165="","",I165-K165)</f>
        <v/>
      </c>
      <c r="M165" s="4" t="n"/>
      <c r="N165" s="4" t="n"/>
      <c r="O165" s="4" t="n"/>
      <c r="P165" s="4" t="n"/>
      <c r="Q165" s="4" t="n"/>
      <c r="R165" s="4">
        <f>IF(I165="","",IF(L165&lt;=0,"Sí","No"))</f>
        <v/>
      </c>
      <c r="S165" s="4" t="n"/>
    </row>
    <row r="166">
      <c r="A166" s="7">
        <f>IF(B166="","","FC-"&amp;TEXT(ROW()-2,"0000"))</f>
        <v/>
      </c>
      <c r="B166" s="8" t="n"/>
      <c r="C166" s="8" t="n"/>
      <c r="D166" s="8" t="n"/>
      <c r="E166" s="8" t="n"/>
      <c r="F166" s="8" t="n"/>
      <c r="G166" s="8" t="n"/>
      <c r="H166" s="9" t="n"/>
      <c r="I166" s="9" t="n"/>
      <c r="J166" s="10">
        <f>IF(I166="","",I166*0.5)</f>
        <v/>
      </c>
      <c r="K166" s="9" t="n"/>
      <c r="L166" s="10">
        <f>IF(I166="","",I166-K166)</f>
        <v/>
      </c>
      <c r="M166" s="8" t="n"/>
      <c r="N166" s="8" t="n"/>
      <c r="O166" s="8" t="n"/>
      <c r="P166" s="8" t="n"/>
      <c r="Q166" s="8" t="n"/>
      <c r="R166" s="8">
        <f>IF(I166="","",IF(L166&lt;=0,"Sí","No"))</f>
        <v/>
      </c>
      <c r="S166" s="8" t="n"/>
    </row>
    <row r="167">
      <c r="A167" s="3">
        <f>IF(B167="","","FC-"&amp;TEXT(ROW()-2,"0000"))</f>
        <v/>
      </c>
      <c r="B167" s="4" t="n"/>
      <c r="C167" s="4" t="n"/>
      <c r="D167" s="4" t="n"/>
      <c r="E167" s="4" t="n"/>
      <c r="F167" s="4" t="n"/>
      <c r="G167" s="4" t="n"/>
      <c r="H167" s="5" t="n"/>
      <c r="I167" s="5" t="n"/>
      <c r="J167" s="6">
        <f>IF(I167="","",I167*0.5)</f>
        <v/>
      </c>
      <c r="K167" s="5" t="n"/>
      <c r="L167" s="6">
        <f>IF(I167="","",I167-K167)</f>
        <v/>
      </c>
      <c r="M167" s="4" t="n"/>
      <c r="N167" s="4" t="n"/>
      <c r="O167" s="4" t="n"/>
      <c r="P167" s="4" t="n"/>
      <c r="Q167" s="4" t="n"/>
      <c r="R167" s="4">
        <f>IF(I167="","",IF(L167&lt;=0,"Sí","No"))</f>
        <v/>
      </c>
      <c r="S167" s="4" t="n"/>
    </row>
    <row r="168">
      <c r="A168" s="7">
        <f>IF(B168="","","FC-"&amp;TEXT(ROW()-2,"0000"))</f>
        <v/>
      </c>
      <c r="B168" s="8" t="n"/>
      <c r="C168" s="8" t="n"/>
      <c r="D168" s="8" t="n"/>
      <c r="E168" s="8" t="n"/>
      <c r="F168" s="8" t="n"/>
      <c r="G168" s="8" t="n"/>
      <c r="H168" s="9" t="n"/>
      <c r="I168" s="9" t="n"/>
      <c r="J168" s="10">
        <f>IF(I168="","",I168*0.5)</f>
        <v/>
      </c>
      <c r="K168" s="9" t="n"/>
      <c r="L168" s="10">
        <f>IF(I168="","",I168-K168)</f>
        <v/>
      </c>
      <c r="M168" s="8" t="n"/>
      <c r="N168" s="8" t="n"/>
      <c r="O168" s="8" t="n"/>
      <c r="P168" s="8" t="n"/>
      <c r="Q168" s="8" t="n"/>
      <c r="R168" s="8">
        <f>IF(I168="","",IF(L168&lt;=0,"Sí","No"))</f>
        <v/>
      </c>
      <c r="S168" s="8" t="n"/>
    </row>
    <row r="169">
      <c r="A169" s="3">
        <f>IF(B169="","","FC-"&amp;TEXT(ROW()-2,"0000"))</f>
        <v/>
      </c>
      <c r="B169" s="4" t="n"/>
      <c r="C169" s="4" t="n"/>
      <c r="D169" s="4" t="n"/>
      <c r="E169" s="4" t="n"/>
      <c r="F169" s="4" t="n"/>
      <c r="G169" s="4" t="n"/>
      <c r="H169" s="5" t="n"/>
      <c r="I169" s="5" t="n"/>
      <c r="J169" s="6">
        <f>IF(I169="","",I169*0.5)</f>
        <v/>
      </c>
      <c r="K169" s="5" t="n"/>
      <c r="L169" s="6">
        <f>IF(I169="","",I169-K169)</f>
        <v/>
      </c>
      <c r="M169" s="4" t="n"/>
      <c r="N169" s="4" t="n"/>
      <c r="O169" s="4" t="n"/>
      <c r="P169" s="4" t="n"/>
      <c r="Q169" s="4" t="n"/>
      <c r="R169" s="4">
        <f>IF(I169="","",IF(L169&lt;=0,"Sí","No"))</f>
        <v/>
      </c>
      <c r="S169" s="4" t="n"/>
    </row>
    <row r="170">
      <c r="A170" s="7">
        <f>IF(B170="","","FC-"&amp;TEXT(ROW()-2,"0000"))</f>
        <v/>
      </c>
      <c r="B170" s="8" t="n"/>
      <c r="C170" s="8" t="n"/>
      <c r="D170" s="8" t="n"/>
      <c r="E170" s="8" t="n"/>
      <c r="F170" s="8" t="n"/>
      <c r="G170" s="8" t="n"/>
      <c r="H170" s="9" t="n"/>
      <c r="I170" s="9" t="n"/>
      <c r="J170" s="10">
        <f>IF(I170="","",I170*0.5)</f>
        <v/>
      </c>
      <c r="K170" s="9" t="n"/>
      <c r="L170" s="10">
        <f>IF(I170="","",I170-K170)</f>
        <v/>
      </c>
      <c r="M170" s="8" t="n"/>
      <c r="N170" s="8" t="n"/>
      <c r="O170" s="8" t="n"/>
      <c r="P170" s="8" t="n"/>
      <c r="Q170" s="8" t="n"/>
      <c r="R170" s="8">
        <f>IF(I170="","",IF(L170&lt;=0,"Sí","No"))</f>
        <v/>
      </c>
      <c r="S170" s="8" t="n"/>
    </row>
    <row r="171">
      <c r="A171" s="3">
        <f>IF(B171="","","FC-"&amp;TEXT(ROW()-2,"0000"))</f>
        <v/>
      </c>
      <c r="B171" s="4" t="n"/>
      <c r="C171" s="4" t="n"/>
      <c r="D171" s="4" t="n"/>
      <c r="E171" s="4" t="n"/>
      <c r="F171" s="4" t="n"/>
      <c r="G171" s="4" t="n"/>
      <c r="H171" s="5" t="n"/>
      <c r="I171" s="5" t="n"/>
      <c r="J171" s="6">
        <f>IF(I171="","",I171*0.5)</f>
        <v/>
      </c>
      <c r="K171" s="5" t="n"/>
      <c r="L171" s="6">
        <f>IF(I171="","",I171-K171)</f>
        <v/>
      </c>
      <c r="M171" s="4" t="n"/>
      <c r="N171" s="4" t="n"/>
      <c r="O171" s="4" t="n"/>
      <c r="P171" s="4" t="n"/>
      <c r="Q171" s="4" t="n"/>
      <c r="R171" s="4">
        <f>IF(I171="","",IF(L171&lt;=0,"Sí","No"))</f>
        <v/>
      </c>
      <c r="S171" s="4" t="n"/>
    </row>
    <row r="172">
      <c r="A172" s="7">
        <f>IF(B172="","","FC-"&amp;TEXT(ROW()-2,"0000"))</f>
        <v/>
      </c>
      <c r="B172" s="8" t="n"/>
      <c r="C172" s="8" t="n"/>
      <c r="D172" s="8" t="n"/>
      <c r="E172" s="8" t="n"/>
      <c r="F172" s="8" t="n"/>
      <c r="G172" s="8" t="n"/>
      <c r="H172" s="9" t="n"/>
      <c r="I172" s="9" t="n"/>
      <c r="J172" s="10">
        <f>IF(I172="","",I172*0.5)</f>
        <v/>
      </c>
      <c r="K172" s="9" t="n"/>
      <c r="L172" s="10">
        <f>IF(I172="","",I172-K172)</f>
        <v/>
      </c>
      <c r="M172" s="8" t="n"/>
      <c r="N172" s="8" t="n"/>
      <c r="O172" s="8" t="n"/>
      <c r="P172" s="8" t="n"/>
      <c r="Q172" s="8" t="n"/>
      <c r="R172" s="8">
        <f>IF(I172="","",IF(L172&lt;=0,"Sí","No"))</f>
        <v/>
      </c>
      <c r="S172" s="8" t="n"/>
    </row>
    <row r="173">
      <c r="A173" s="3">
        <f>IF(B173="","","FC-"&amp;TEXT(ROW()-2,"0000"))</f>
        <v/>
      </c>
      <c r="B173" s="4" t="n"/>
      <c r="C173" s="4" t="n"/>
      <c r="D173" s="4" t="n"/>
      <c r="E173" s="4" t="n"/>
      <c r="F173" s="4" t="n"/>
      <c r="G173" s="4" t="n"/>
      <c r="H173" s="5" t="n"/>
      <c r="I173" s="5" t="n"/>
      <c r="J173" s="6">
        <f>IF(I173="","",I173*0.5)</f>
        <v/>
      </c>
      <c r="K173" s="5" t="n"/>
      <c r="L173" s="6">
        <f>IF(I173="","",I173-K173)</f>
        <v/>
      </c>
      <c r="M173" s="4" t="n"/>
      <c r="N173" s="4" t="n"/>
      <c r="O173" s="4" t="n"/>
      <c r="P173" s="4" t="n"/>
      <c r="Q173" s="4" t="n"/>
      <c r="R173" s="4">
        <f>IF(I173="","",IF(L173&lt;=0,"Sí","No"))</f>
        <v/>
      </c>
      <c r="S173" s="4" t="n"/>
    </row>
    <row r="174">
      <c r="A174" s="7">
        <f>IF(B174="","","FC-"&amp;TEXT(ROW()-2,"0000"))</f>
        <v/>
      </c>
      <c r="B174" s="8" t="n"/>
      <c r="C174" s="8" t="n"/>
      <c r="D174" s="8" t="n"/>
      <c r="E174" s="8" t="n"/>
      <c r="F174" s="8" t="n"/>
      <c r="G174" s="8" t="n"/>
      <c r="H174" s="9" t="n"/>
      <c r="I174" s="9" t="n"/>
      <c r="J174" s="10">
        <f>IF(I174="","",I174*0.5)</f>
        <v/>
      </c>
      <c r="K174" s="9" t="n"/>
      <c r="L174" s="10">
        <f>IF(I174="","",I174-K174)</f>
        <v/>
      </c>
      <c r="M174" s="8" t="n"/>
      <c r="N174" s="8" t="n"/>
      <c r="O174" s="8" t="n"/>
      <c r="P174" s="8" t="n"/>
      <c r="Q174" s="8" t="n"/>
      <c r="R174" s="8">
        <f>IF(I174="","",IF(L174&lt;=0,"Sí","No"))</f>
        <v/>
      </c>
      <c r="S174" s="8" t="n"/>
    </row>
    <row r="175">
      <c r="A175" s="3">
        <f>IF(B175="","","FC-"&amp;TEXT(ROW()-2,"0000"))</f>
        <v/>
      </c>
      <c r="B175" s="4" t="n"/>
      <c r="C175" s="4" t="n"/>
      <c r="D175" s="4" t="n"/>
      <c r="E175" s="4" t="n"/>
      <c r="F175" s="4" t="n"/>
      <c r="G175" s="4" t="n"/>
      <c r="H175" s="5" t="n"/>
      <c r="I175" s="5" t="n"/>
      <c r="J175" s="6">
        <f>IF(I175="","",I175*0.5)</f>
        <v/>
      </c>
      <c r="K175" s="5" t="n"/>
      <c r="L175" s="6">
        <f>IF(I175="","",I175-K175)</f>
        <v/>
      </c>
      <c r="M175" s="4" t="n"/>
      <c r="N175" s="4" t="n"/>
      <c r="O175" s="4" t="n"/>
      <c r="P175" s="4" t="n"/>
      <c r="Q175" s="4" t="n"/>
      <c r="R175" s="4">
        <f>IF(I175="","",IF(L175&lt;=0,"Sí","No"))</f>
        <v/>
      </c>
      <c r="S175" s="4" t="n"/>
    </row>
    <row r="176">
      <c r="A176" s="7">
        <f>IF(B176="","","FC-"&amp;TEXT(ROW()-2,"0000"))</f>
        <v/>
      </c>
      <c r="B176" s="8" t="n"/>
      <c r="C176" s="8" t="n"/>
      <c r="D176" s="8" t="n"/>
      <c r="E176" s="8" t="n"/>
      <c r="F176" s="8" t="n"/>
      <c r="G176" s="8" t="n"/>
      <c r="H176" s="9" t="n"/>
      <c r="I176" s="9" t="n"/>
      <c r="J176" s="10">
        <f>IF(I176="","",I176*0.5)</f>
        <v/>
      </c>
      <c r="K176" s="9" t="n"/>
      <c r="L176" s="10">
        <f>IF(I176="","",I176-K176)</f>
        <v/>
      </c>
      <c r="M176" s="8" t="n"/>
      <c r="N176" s="8" t="n"/>
      <c r="O176" s="8" t="n"/>
      <c r="P176" s="8" t="n"/>
      <c r="Q176" s="8" t="n"/>
      <c r="R176" s="8">
        <f>IF(I176="","",IF(L176&lt;=0,"Sí","No"))</f>
        <v/>
      </c>
      <c r="S176" s="8" t="n"/>
    </row>
    <row r="177">
      <c r="A177" s="3">
        <f>IF(B177="","","FC-"&amp;TEXT(ROW()-2,"0000"))</f>
        <v/>
      </c>
      <c r="B177" s="4" t="n"/>
      <c r="C177" s="4" t="n"/>
      <c r="D177" s="4" t="n"/>
      <c r="E177" s="4" t="n"/>
      <c r="F177" s="4" t="n"/>
      <c r="G177" s="4" t="n"/>
      <c r="H177" s="5" t="n"/>
      <c r="I177" s="5" t="n"/>
      <c r="J177" s="6">
        <f>IF(I177="","",I177*0.5)</f>
        <v/>
      </c>
      <c r="K177" s="5" t="n"/>
      <c r="L177" s="6">
        <f>IF(I177="","",I177-K177)</f>
        <v/>
      </c>
      <c r="M177" s="4" t="n"/>
      <c r="N177" s="4" t="n"/>
      <c r="O177" s="4" t="n"/>
      <c r="P177" s="4" t="n"/>
      <c r="Q177" s="4" t="n"/>
      <c r="R177" s="4">
        <f>IF(I177="","",IF(L177&lt;=0,"Sí","No"))</f>
        <v/>
      </c>
      <c r="S177" s="4" t="n"/>
    </row>
    <row r="178">
      <c r="A178" s="7">
        <f>IF(B178="","","FC-"&amp;TEXT(ROW()-2,"0000"))</f>
        <v/>
      </c>
      <c r="B178" s="8" t="n"/>
      <c r="C178" s="8" t="n"/>
      <c r="D178" s="8" t="n"/>
      <c r="E178" s="8" t="n"/>
      <c r="F178" s="8" t="n"/>
      <c r="G178" s="8" t="n"/>
      <c r="H178" s="9" t="n"/>
      <c r="I178" s="9" t="n"/>
      <c r="J178" s="10">
        <f>IF(I178="","",I178*0.5)</f>
        <v/>
      </c>
      <c r="K178" s="9" t="n"/>
      <c r="L178" s="10">
        <f>IF(I178="","",I178-K178)</f>
        <v/>
      </c>
      <c r="M178" s="8" t="n"/>
      <c r="N178" s="8" t="n"/>
      <c r="O178" s="8" t="n"/>
      <c r="P178" s="8" t="n"/>
      <c r="Q178" s="8" t="n"/>
      <c r="R178" s="8">
        <f>IF(I178="","",IF(L178&lt;=0,"Sí","No"))</f>
        <v/>
      </c>
      <c r="S178" s="8" t="n"/>
    </row>
    <row r="179">
      <c r="A179" s="3">
        <f>IF(B179="","","FC-"&amp;TEXT(ROW()-2,"0000"))</f>
        <v/>
      </c>
      <c r="B179" s="4" t="n"/>
      <c r="C179" s="4" t="n"/>
      <c r="D179" s="4" t="n"/>
      <c r="E179" s="4" t="n"/>
      <c r="F179" s="4" t="n"/>
      <c r="G179" s="4" t="n"/>
      <c r="H179" s="5" t="n"/>
      <c r="I179" s="5" t="n"/>
      <c r="J179" s="6">
        <f>IF(I179="","",I179*0.5)</f>
        <v/>
      </c>
      <c r="K179" s="5" t="n"/>
      <c r="L179" s="6">
        <f>IF(I179="","",I179-K179)</f>
        <v/>
      </c>
      <c r="M179" s="4" t="n"/>
      <c r="N179" s="4" t="n"/>
      <c r="O179" s="4" t="n"/>
      <c r="P179" s="4" t="n"/>
      <c r="Q179" s="4" t="n"/>
      <c r="R179" s="4">
        <f>IF(I179="","",IF(L179&lt;=0,"Sí","No"))</f>
        <v/>
      </c>
      <c r="S179" s="4" t="n"/>
    </row>
    <row r="180">
      <c r="A180" s="7">
        <f>IF(B180="","","FC-"&amp;TEXT(ROW()-2,"0000"))</f>
        <v/>
      </c>
      <c r="B180" s="8" t="n"/>
      <c r="C180" s="8" t="n"/>
      <c r="D180" s="8" t="n"/>
      <c r="E180" s="8" t="n"/>
      <c r="F180" s="8" t="n"/>
      <c r="G180" s="8" t="n"/>
      <c r="H180" s="9" t="n"/>
      <c r="I180" s="9" t="n"/>
      <c r="J180" s="10">
        <f>IF(I180="","",I180*0.5)</f>
        <v/>
      </c>
      <c r="K180" s="9" t="n"/>
      <c r="L180" s="10">
        <f>IF(I180="","",I180-K180)</f>
        <v/>
      </c>
      <c r="M180" s="8" t="n"/>
      <c r="N180" s="8" t="n"/>
      <c r="O180" s="8" t="n"/>
      <c r="P180" s="8" t="n"/>
      <c r="Q180" s="8" t="n"/>
      <c r="R180" s="8">
        <f>IF(I180="","",IF(L180&lt;=0,"Sí","No"))</f>
        <v/>
      </c>
      <c r="S180" s="8" t="n"/>
    </row>
    <row r="181">
      <c r="A181" s="3">
        <f>IF(B181="","","FC-"&amp;TEXT(ROW()-2,"0000"))</f>
        <v/>
      </c>
      <c r="B181" s="4" t="n"/>
      <c r="C181" s="4" t="n"/>
      <c r="D181" s="4" t="n"/>
      <c r="E181" s="4" t="n"/>
      <c r="F181" s="4" t="n"/>
      <c r="G181" s="4" t="n"/>
      <c r="H181" s="5" t="n"/>
      <c r="I181" s="5" t="n"/>
      <c r="J181" s="6">
        <f>IF(I181="","",I181*0.5)</f>
        <v/>
      </c>
      <c r="K181" s="5" t="n"/>
      <c r="L181" s="6">
        <f>IF(I181="","",I181-K181)</f>
        <v/>
      </c>
      <c r="M181" s="4" t="n"/>
      <c r="N181" s="4" t="n"/>
      <c r="O181" s="4" t="n"/>
      <c r="P181" s="4" t="n"/>
      <c r="Q181" s="4" t="n"/>
      <c r="R181" s="4">
        <f>IF(I181="","",IF(L181&lt;=0,"Sí","No"))</f>
        <v/>
      </c>
      <c r="S181" s="4" t="n"/>
    </row>
    <row r="182">
      <c r="A182" s="7">
        <f>IF(B182="","","FC-"&amp;TEXT(ROW()-2,"0000"))</f>
        <v/>
      </c>
      <c r="B182" s="8" t="n"/>
      <c r="C182" s="8" t="n"/>
      <c r="D182" s="8" t="n"/>
      <c r="E182" s="8" t="n"/>
      <c r="F182" s="8" t="n"/>
      <c r="G182" s="8" t="n"/>
      <c r="H182" s="9" t="n"/>
      <c r="I182" s="9" t="n"/>
      <c r="J182" s="10">
        <f>IF(I182="","",I182*0.5)</f>
        <v/>
      </c>
      <c r="K182" s="9" t="n"/>
      <c r="L182" s="10">
        <f>IF(I182="","",I182-K182)</f>
        <v/>
      </c>
      <c r="M182" s="8" t="n"/>
      <c r="N182" s="8" t="n"/>
      <c r="O182" s="8" t="n"/>
      <c r="P182" s="8" t="n"/>
      <c r="Q182" s="8" t="n"/>
      <c r="R182" s="8">
        <f>IF(I182="","",IF(L182&lt;=0,"Sí","No"))</f>
        <v/>
      </c>
      <c r="S182" s="8" t="n"/>
    </row>
    <row r="183">
      <c r="A183" s="3">
        <f>IF(B183="","","FC-"&amp;TEXT(ROW()-2,"0000"))</f>
        <v/>
      </c>
      <c r="B183" s="4" t="n"/>
      <c r="C183" s="4" t="n"/>
      <c r="D183" s="4" t="n"/>
      <c r="E183" s="4" t="n"/>
      <c r="F183" s="4" t="n"/>
      <c r="G183" s="4" t="n"/>
      <c r="H183" s="5" t="n"/>
      <c r="I183" s="5" t="n"/>
      <c r="J183" s="6">
        <f>IF(I183="","",I183*0.5)</f>
        <v/>
      </c>
      <c r="K183" s="5" t="n"/>
      <c r="L183" s="6">
        <f>IF(I183="","",I183-K183)</f>
        <v/>
      </c>
      <c r="M183" s="4" t="n"/>
      <c r="N183" s="4" t="n"/>
      <c r="O183" s="4" t="n"/>
      <c r="P183" s="4" t="n"/>
      <c r="Q183" s="4" t="n"/>
      <c r="R183" s="4">
        <f>IF(I183="","",IF(L183&lt;=0,"Sí","No"))</f>
        <v/>
      </c>
      <c r="S183" s="4" t="n"/>
    </row>
    <row r="184">
      <c r="A184" s="7">
        <f>IF(B184="","","FC-"&amp;TEXT(ROW()-2,"0000"))</f>
        <v/>
      </c>
      <c r="B184" s="8" t="n"/>
      <c r="C184" s="8" t="n"/>
      <c r="D184" s="8" t="n"/>
      <c r="E184" s="8" t="n"/>
      <c r="F184" s="8" t="n"/>
      <c r="G184" s="8" t="n"/>
      <c r="H184" s="9" t="n"/>
      <c r="I184" s="9" t="n"/>
      <c r="J184" s="10">
        <f>IF(I184="","",I184*0.5)</f>
        <v/>
      </c>
      <c r="K184" s="9" t="n"/>
      <c r="L184" s="10">
        <f>IF(I184="","",I184-K184)</f>
        <v/>
      </c>
      <c r="M184" s="8" t="n"/>
      <c r="N184" s="8" t="n"/>
      <c r="O184" s="8" t="n"/>
      <c r="P184" s="8" t="n"/>
      <c r="Q184" s="8" t="n"/>
      <c r="R184" s="8">
        <f>IF(I184="","",IF(L184&lt;=0,"Sí","No"))</f>
        <v/>
      </c>
      <c r="S184" s="8" t="n"/>
    </row>
    <row r="185">
      <c r="A185" s="3">
        <f>IF(B185="","","FC-"&amp;TEXT(ROW()-2,"0000"))</f>
        <v/>
      </c>
      <c r="B185" s="4" t="n"/>
      <c r="C185" s="4" t="n"/>
      <c r="D185" s="4" t="n"/>
      <c r="E185" s="4" t="n"/>
      <c r="F185" s="4" t="n"/>
      <c r="G185" s="4" t="n"/>
      <c r="H185" s="5" t="n"/>
      <c r="I185" s="5" t="n"/>
      <c r="J185" s="6">
        <f>IF(I185="","",I185*0.5)</f>
        <v/>
      </c>
      <c r="K185" s="5" t="n"/>
      <c r="L185" s="6">
        <f>IF(I185="","",I185-K185)</f>
        <v/>
      </c>
      <c r="M185" s="4" t="n"/>
      <c r="N185" s="4" t="n"/>
      <c r="O185" s="4" t="n"/>
      <c r="P185" s="4" t="n"/>
      <c r="Q185" s="4" t="n"/>
      <c r="R185" s="4">
        <f>IF(I185="","",IF(L185&lt;=0,"Sí","No"))</f>
        <v/>
      </c>
      <c r="S185" s="4" t="n"/>
    </row>
    <row r="186">
      <c r="A186" s="7">
        <f>IF(B186="","","FC-"&amp;TEXT(ROW()-2,"0000"))</f>
        <v/>
      </c>
      <c r="B186" s="8" t="n"/>
      <c r="C186" s="8" t="n"/>
      <c r="D186" s="8" t="n"/>
      <c r="E186" s="8" t="n"/>
      <c r="F186" s="8" t="n"/>
      <c r="G186" s="8" t="n"/>
      <c r="H186" s="9" t="n"/>
      <c r="I186" s="9" t="n"/>
      <c r="J186" s="10">
        <f>IF(I186="","",I186*0.5)</f>
        <v/>
      </c>
      <c r="K186" s="9" t="n"/>
      <c r="L186" s="10">
        <f>IF(I186="","",I186-K186)</f>
        <v/>
      </c>
      <c r="M186" s="8" t="n"/>
      <c r="N186" s="8" t="n"/>
      <c r="O186" s="8" t="n"/>
      <c r="P186" s="8" t="n"/>
      <c r="Q186" s="8" t="n"/>
      <c r="R186" s="8">
        <f>IF(I186="","",IF(L186&lt;=0,"Sí","No"))</f>
        <v/>
      </c>
      <c r="S186" s="8" t="n"/>
    </row>
    <row r="187">
      <c r="A187" s="3">
        <f>IF(B187="","","FC-"&amp;TEXT(ROW()-2,"0000"))</f>
        <v/>
      </c>
      <c r="B187" s="4" t="n"/>
      <c r="C187" s="4" t="n"/>
      <c r="D187" s="4" t="n"/>
      <c r="E187" s="4" t="n"/>
      <c r="F187" s="4" t="n"/>
      <c r="G187" s="4" t="n"/>
      <c r="H187" s="5" t="n"/>
      <c r="I187" s="5" t="n"/>
      <c r="J187" s="6">
        <f>IF(I187="","",I187*0.5)</f>
        <v/>
      </c>
      <c r="K187" s="5" t="n"/>
      <c r="L187" s="6">
        <f>IF(I187="","",I187-K187)</f>
        <v/>
      </c>
      <c r="M187" s="4" t="n"/>
      <c r="N187" s="4" t="n"/>
      <c r="O187" s="4" t="n"/>
      <c r="P187" s="4" t="n"/>
      <c r="Q187" s="4" t="n"/>
      <c r="R187" s="4">
        <f>IF(I187="","",IF(L187&lt;=0,"Sí","No"))</f>
        <v/>
      </c>
      <c r="S187" s="4" t="n"/>
    </row>
    <row r="188">
      <c r="A188" s="7">
        <f>IF(B188="","","FC-"&amp;TEXT(ROW()-2,"0000"))</f>
        <v/>
      </c>
      <c r="B188" s="8" t="n"/>
      <c r="C188" s="8" t="n"/>
      <c r="D188" s="8" t="n"/>
      <c r="E188" s="8" t="n"/>
      <c r="F188" s="8" t="n"/>
      <c r="G188" s="8" t="n"/>
      <c r="H188" s="9" t="n"/>
      <c r="I188" s="9" t="n"/>
      <c r="J188" s="10">
        <f>IF(I188="","",I188*0.5)</f>
        <v/>
      </c>
      <c r="K188" s="9" t="n"/>
      <c r="L188" s="10">
        <f>IF(I188="","",I188-K188)</f>
        <v/>
      </c>
      <c r="M188" s="8" t="n"/>
      <c r="N188" s="8" t="n"/>
      <c r="O188" s="8" t="n"/>
      <c r="P188" s="8" t="n"/>
      <c r="Q188" s="8" t="n"/>
      <c r="R188" s="8">
        <f>IF(I188="","",IF(L188&lt;=0,"Sí","No"))</f>
        <v/>
      </c>
      <c r="S188" s="8" t="n"/>
    </row>
    <row r="189">
      <c r="A189" s="3">
        <f>IF(B189="","","FC-"&amp;TEXT(ROW()-2,"0000"))</f>
        <v/>
      </c>
      <c r="B189" s="4" t="n"/>
      <c r="C189" s="4" t="n"/>
      <c r="D189" s="4" t="n"/>
      <c r="E189" s="4" t="n"/>
      <c r="F189" s="4" t="n"/>
      <c r="G189" s="4" t="n"/>
      <c r="H189" s="5" t="n"/>
      <c r="I189" s="5" t="n"/>
      <c r="J189" s="6">
        <f>IF(I189="","",I189*0.5)</f>
        <v/>
      </c>
      <c r="K189" s="5" t="n"/>
      <c r="L189" s="6">
        <f>IF(I189="","",I189-K189)</f>
        <v/>
      </c>
      <c r="M189" s="4" t="n"/>
      <c r="N189" s="4" t="n"/>
      <c r="O189" s="4" t="n"/>
      <c r="P189" s="4" t="n"/>
      <c r="Q189" s="4" t="n"/>
      <c r="R189" s="4">
        <f>IF(I189="","",IF(L189&lt;=0,"Sí","No"))</f>
        <v/>
      </c>
      <c r="S189" s="4" t="n"/>
    </row>
    <row r="190">
      <c r="A190" s="7">
        <f>IF(B190="","","FC-"&amp;TEXT(ROW()-2,"0000"))</f>
        <v/>
      </c>
      <c r="B190" s="8" t="n"/>
      <c r="C190" s="8" t="n"/>
      <c r="D190" s="8" t="n"/>
      <c r="E190" s="8" t="n"/>
      <c r="F190" s="8" t="n"/>
      <c r="G190" s="8" t="n"/>
      <c r="H190" s="9" t="n"/>
      <c r="I190" s="9" t="n"/>
      <c r="J190" s="10">
        <f>IF(I190="","",I190*0.5)</f>
        <v/>
      </c>
      <c r="K190" s="9" t="n"/>
      <c r="L190" s="10">
        <f>IF(I190="","",I190-K190)</f>
        <v/>
      </c>
      <c r="M190" s="8" t="n"/>
      <c r="N190" s="8" t="n"/>
      <c r="O190" s="8" t="n"/>
      <c r="P190" s="8" t="n"/>
      <c r="Q190" s="8" t="n"/>
      <c r="R190" s="8">
        <f>IF(I190="","",IF(L190&lt;=0,"Sí","No"))</f>
        <v/>
      </c>
      <c r="S190" s="8" t="n"/>
    </row>
    <row r="191">
      <c r="A191" s="3">
        <f>IF(B191="","","FC-"&amp;TEXT(ROW()-2,"0000"))</f>
        <v/>
      </c>
      <c r="B191" s="4" t="n"/>
      <c r="C191" s="4" t="n"/>
      <c r="D191" s="4" t="n"/>
      <c r="E191" s="4" t="n"/>
      <c r="F191" s="4" t="n"/>
      <c r="G191" s="4" t="n"/>
      <c r="H191" s="5" t="n"/>
      <c r="I191" s="5" t="n"/>
      <c r="J191" s="6">
        <f>IF(I191="","",I191*0.5)</f>
        <v/>
      </c>
      <c r="K191" s="5" t="n"/>
      <c r="L191" s="6">
        <f>IF(I191="","",I191-K191)</f>
        <v/>
      </c>
      <c r="M191" s="4" t="n"/>
      <c r="N191" s="4" t="n"/>
      <c r="O191" s="4" t="n"/>
      <c r="P191" s="4" t="n"/>
      <c r="Q191" s="4" t="n"/>
      <c r="R191" s="4">
        <f>IF(I191="","",IF(L191&lt;=0,"Sí","No"))</f>
        <v/>
      </c>
      <c r="S191" s="4" t="n"/>
    </row>
    <row r="192">
      <c r="A192" s="7">
        <f>IF(B192="","","FC-"&amp;TEXT(ROW()-2,"0000"))</f>
        <v/>
      </c>
      <c r="B192" s="8" t="n"/>
      <c r="C192" s="8" t="n"/>
      <c r="D192" s="8" t="n"/>
      <c r="E192" s="8" t="n"/>
      <c r="F192" s="8" t="n"/>
      <c r="G192" s="8" t="n"/>
      <c r="H192" s="9" t="n"/>
      <c r="I192" s="9" t="n"/>
      <c r="J192" s="10">
        <f>IF(I192="","",I192*0.5)</f>
        <v/>
      </c>
      <c r="K192" s="9" t="n"/>
      <c r="L192" s="10">
        <f>IF(I192="","",I192-K192)</f>
        <v/>
      </c>
      <c r="M192" s="8" t="n"/>
      <c r="N192" s="8" t="n"/>
      <c r="O192" s="8" t="n"/>
      <c r="P192" s="8" t="n"/>
      <c r="Q192" s="8" t="n"/>
      <c r="R192" s="8">
        <f>IF(I192="","",IF(L192&lt;=0,"Sí","No"))</f>
        <v/>
      </c>
      <c r="S192" s="8" t="n"/>
    </row>
    <row r="193">
      <c r="A193" s="3">
        <f>IF(B193="","","FC-"&amp;TEXT(ROW()-2,"0000"))</f>
        <v/>
      </c>
      <c r="B193" s="4" t="n"/>
      <c r="C193" s="4" t="n"/>
      <c r="D193" s="4" t="n"/>
      <c r="E193" s="4" t="n"/>
      <c r="F193" s="4" t="n"/>
      <c r="G193" s="4" t="n"/>
      <c r="H193" s="5" t="n"/>
      <c r="I193" s="5" t="n"/>
      <c r="J193" s="6">
        <f>IF(I193="","",I193*0.5)</f>
        <v/>
      </c>
      <c r="K193" s="5" t="n"/>
      <c r="L193" s="6">
        <f>IF(I193="","",I193-K193)</f>
        <v/>
      </c>
      <c r="M193" s="4" t="n"/>
      <c r="N193" s="4" t="n"/>
      <c r="O193" s="4" t="n"/>
      <c r="P193" s="4" t="n"/>
      <c r="Q193" s="4" t="n"/>
      <c r="R193" s="4">
        <f>IF(I193="","",IF(L193&lt;=0,"Sí","No"))</f>
        <v/>
      </c>
      <c r="S193" s="4" t="n"/>
    </row>
    <row r="194">
      <c r="A194" s="7">
        <f>IF(B194="","","FC-"&amp;TEXT(ROW()-2,"0000"))</f>
        <v/>
      </c>
      <c r="B194" s="8" t="n"/>
      <c r="C194" s="8" t="n"/>
      <c r="D194" s="8" t="n"/>
      <c r="E194" s="8" t="n"/>
      <c r="F194" s="8" t="n"/>
      <c r="G194" s="8" t="n"/>
      <c r="H194" s="9" t="n"/>
      <c r="I194" s="9" t="n"/>
      <c r="J194" s="10">
        <f>IF(I194="","",I194*0.5)</f>
        <v/>
      </c>
      <c r="K194" s="9" t="n"/>
      <c r="L194" s="10">
        <f>IF(I194="","",I194-K194)</f>
        <v/>
      </c>
      <c r="M194" s="8" t="n"/>
      <c r="N194" s="8" t="n"/>
      <c r="O194" s="8" t="n"/>
      <c r="P194" s="8" t="n"/>
      <c r="Q194" s="8" t="n"/>
      <c r="R194" s="8">
        <f>IF(I194="","",IF(L194&lt;=0,"Sí","No"))</f>
        <v/>
      </c>
      <c r="S194" s="8" t="n"/>
    </row>
    <row r="195">
      <c r="A195" s="3">
        <f>IF(B195="","","FC-"&amp;TEXT(ROW()-2,"0000"))</f>
        <v/>
      </c>
      <c r="B195" s="4" t="n"/>
      <c r="C195" s="4" t="n"/>
      <c r="D195" s="4" t="n"/>
      <c r="E195" s="4" t="n"/>
      <c r="F195" s="4" t="n"/>
      <c r="G195" s="4" t="n"/>
      <c r="H195" s="5" t="n"/>
      <c r="I195" s="5" t="n"/>
      <c r="J195" s="6">
        <f>IF(I195="","",I195*0.5)</f>
        <v/>
      </c>
      <c r="K195" s="5" t="n"/>
      <c r="L195" s="6">
        <f>IF(I195="","",I195-K195)</f>
        <v/>
      </c>
      <c r="M195" s="4" t="n"/>
      <c r="N195" s="4" t="n"/>
      <c r="O195" s="4" t="n"/>
      <c r="P195" s="4" t="n"/>
      <c r="Q195" s="4" t="n"/>
      <c r="R195" s="4">
        <f>IF(I195="","",IF(L195&lt;=0,"Sí","No"))</f>
        <v/>
      </c>
      <c r="S195" s="4" t="n"/>
    </row>
    <row r="196">
      <c r="A196" s="7">
        <f>IF(B196="","","FC-"&amp;TEXT(ROW()-2,"0000"))</f>
        <v/>
      </c>
      <c r="B196" s="8" t="n"/>
      <c r="C196" s="8" t="n"/>
      <c r="D196" s="8" t="n"/>
      <c r="E196" s="8" t="n"/>
      <c r="F196" s="8" t="n"/>
      <c r="G196" s="8" t="n"/>
      <c r="H196" s="9" t="n"/>
      <c r="I196" s="9" t="n"/>
      <c r="J196" s="10">
        <f>IF(I196="","",I196*0.5)</f>
        <v/>
      </c>
      <c r="K196" s="9" t="n"/>
      <c r="L196" s="10">
        <f>IF(I196="","",I196-K196)</f>
        <v/>
      </c>
      <c r="M196" s="8" t="n"/>
      <c r="N196" s="8" t="n"/>
      <c r="O196" s="8" t="n"/>
      <c r="P196" s="8" t="n"/>
      <c r="Q196" s="8" t="n"/>
      <c r="R196" s="8">
        <f>IF(I196="","",IF(L196&lt;=0,"Sí","No"))</f>
        <v/>
      </c>
      <c r="S196" s="8" t="n"/>
    </row>
    <row r="197">
      <c r="A197" s="3">
        <f>IF(B197="","","FC-"&amp;TEXT(ROW()-2,"0000"))</f>
        <v/>
      </c>
      <c r="B197" s="4" t="n"/>
      <c r="C197" s="4" t="n"/>
      <c r="D197" s="4" t="n"/>
      <c r="E197" s="4" t="n"/>
      <c r="F197" s="4" t="n"/>
      <c r="G197" s="4" t="n"/>
      <c r="H197" s="5" t="n"/>
      <c r="I197" s="5" t="n"/>
      <c r="J197" s="6">
        <f>IF(I197="","",I197*0.5)</f>
        <v/>
      </c>
      <c r="K197" s="5" t="n"/>
      <c r="L197" s="6">
        <f>IF(I197="","",I197-K197)</f>
        <v/>
      </c>
      <c r="M197" s="4" t="n"/>
      <c r="N197" s="4" t="n"/>
      <c r="O197" s="4" t="n"/>
      <c r="P197" s="4" t="n"/>
      <c r="Q197" s="4" t="n"/>
      <c r="R197" s="4">
        <f>IF(I197="","",IF(L197&lt;=0,"Sí","No"))</f>
        <v/>
      </c>
      <c r="S197" s="4" t="n"/>
    </row>
    <row r="198">
      <c r="A198" s="7">
        <f>IF(B198="","","FC-"&amp;TEXT(ROW()-2,"0000"))</f>
        <v/>
      </c>
      <c r="B198" s="8" t="n"/>
      <c r="C198" s="8" t="n"/>
      <c r="D198" s="8" t="n"/>
      <c r="E198" s="8" t="n"/>
      <c r="F198" s="8" t="n"/>
      <c r="G198" s="8" t="n"/>
      <c r="H198" s="9" t="n"/>
      <c r="I198" s="9" t="n"/>
      <c r="J198" s="10">
        <f>IF(I198="","",I198*0.5)</f>
        <v/>
      </c>
      <c r="K198" s="9" t="n"/>
      <c r="L198" s="10">
        <f>IF(I198="","",I198-K198)</f>
        <v/>
      </c>
      <c r="M198" s="8" t="n"/>
      <c r="N198" s="8" t="n"/>
      <c r="O198" s="8" t="n"/>
      <c r="P198" s="8" t="n"/>
      <c r="Q198" s="8" t="n"/>
      <c r="R198" s="8">
        <f>IF(I198="","",IF(L198&lt;=0,"Sí","No"))</f>
        <v/>
      </c>
      <c r="S198" s="8" t="n"/>
    </row>
    <row r="199">
      <c r="A199" s="3">
        <f>IF(B199="","","FC-"&amp;TEXT(ROW()-2,"0000"))</f>
        <v/>
      </c>
      <c r="B199" s="4" t="n"/>
      <c r="C199" s="4" t="n"/>
      <c r="D199" s="4" t="n"/>
      <c r="E199" s="4" t="n"/>
      <c r="F199" s="4" t="n"/>
      <c r="G199" s="4" t="n"/>
      <c r="H199" s="5" t="n"/>
      <c r="I199" s="5" t="n"/>
      <c r="J199" s="6">
        <f>IF(I199="","",I199*0.5)</f>
        <v/>
      </c>
      <c r="K199" s="5" t="n"/>
      <c r="L199" s="6">
        <f>IF(I199="","",I199-K199)</f>
        <v/>
      </c>
      <c r="M199" s="4" t="n"/>
      <c r="N199" s="4" t="n"/>
      <c r="O199" s="4" t="n"/>
      <c r="P199" s="4" t="n"/>
      <c r="Q199" s="4" t="n"/>
      <c r="R199" s="4">
        <f>IF(I199="","",IF(L199&lt;=0,"Sí","No"))</f>
        <v/>
      </c>
      <c r="S199" s="4" t="n"/>
    </row>
    <row r="200">
      <c r="A200" s="7">
        <f>IF(B200="","","FC-"&amp;TEXT(ROW()-2,"0000"))</f>
        <v/>
      </c>
      <c r="B200" s="8" t="n"/>
      <c r="C200" s="8" t="n"/>
      <c r="D200" s="8" t="n"/>
      <c r="E200" s="8" t="n"/>
      <c r="F200" s="8" t="n"/>
      <c r="G200" s="8" t="n"/>
      <c r="H200" s="9" t="n"/>
      <c r="I200" s="9" t="n"/>
      <c r="J200" s="10">
        <f>IF(I200="","",I200*0.5)</f>
        <v/>
      </c>
      <c r="K200" s="9" t="n"/>
      <c r="L200" s="10">
        <f>IF(I200="","",I200-K200)</f>
        <v/>
      </c>
      <c r="M200" s="8" t="n"/>
      <c r="N200" s="8" t="n"/>
      <c r="O200" s="8" t="n"/>
      <c r="P200" s="8" t="n"/>
      <c r="Q200" s="8" t="n"/>
      <c r="R200" s="8">
        <f>IF(I200="","",IF(L200&lt;=0,"Sí","No"))</f>
        <v/>
      </c>
      <c r="S200" s="8" t="n"/>
    </row>
    <row r="201">
      <c r="A201" s="3">
        <f>IF(B201="","","FC-"&amp;TEXT(ROW()-2,"0000"))</f>
        <v/>
      </c>
      <c r="B201" s="4" t="n"/>
      <c r="C201" s="4" t="n"/>
      <c r="D201" s="4" t="n"/>
      <c r="E201" s="4" t="n"/>
      <c r="F201" s="4" t="n"/>
      <c r="G201" s="4" t="n"/>
      <c r="H201" s="5" t="n"/>
      <c r="I201" s="5" t="n"/>
      <c r="J201" s="6">
        <f>IF(I201="","",I201*0.5)</f>
        <v/>
      </c>
      <c r="K201" s="5" t="n"/>
      <c r="L201" s="6">
        <f>IF(I201="","",I201-K201)</f>
        <v/>
      </c>
      <c r="M201" s="4" t="n"/>
      <c r="N201" s="4" t="n"/>
      <c r="O201" s="4" t="n"/>
      <c r="P201" s="4" t="n"/>
      <c r="Q201" s="4" t="n"/>
      <c r="R201" s="4">
        <f>IF(I201="","",IF(L201&lt;=0,"Sí","No"))</f>
        <v/>
      </c>
      <c r="S201" s="4" t="n"/>
    </row>
    <row r="202">
      <c r="A202" s="7">
        <f>IF(B202="","","FC-"&amp;TEXT(ROW()-2,"0000"))</f>
        <v/>
      </c>
      <c r="B202" s="8" t="n"/>
      <c r="C202" s="8" t="n"/>
      <c r="D202" s="8" t="n"/>
      <c r="E202" s="8" t="n"/>
      <c r="F202" s="8" t="n"/>
      <c r="G202" s="8" t="n"/>
      <c r="H202" s="9" t="n"/>
      <c r="I202" s="9" t="n"/>
      <c r="J202" s="10">
        <f>IF(I202="","",I202*0.5)</f>
        <v/>
      </c>
      <c r="K202" s="9" t="n"/>
      <c r="L202" s="10">
        <f>IF(I202="","",I202-K202)</f>
        <v/>
      </c>
      <c r="M202" s="8" t="n"/>
      <c r="N202" s="8" t="n"/>
      <c r="O202" s="8" t="n"/>
      <c r="P202" s="8" t="n"/>
      <c r="Q202" s="8" t="n"/>
      <c r="R202" s="8">
        <f>IF(I202="","",IF(L202&lt;=0,"Sí","No"))</f>
        <v/>
      </c>
      <c r="S202" s="8" t="n"/>
    </row>
    <row r="203">
      <c r="A203" s="11" t="inlineStr">
        <is>
          <t>TOTALES →</t>
        </is>
      </c>
      <c r="I203" s="12">
        <f>SUM(I3:I202)</f>
        <v/>
      </c>
      <c r="J203" s="12">
        <f>SUM(J3:J202)</f>
        <v/>
      </c>
      <c r="K203" s="12">
        <f>SUM(K3:K202)</f>
        <v/>
      </c>
      <c r="L203" s="12">
        <f>SUM(L3:L202)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8A"/>
  <autoFilter ref="A2:S202"/>
  <mergeCells count="2">
    <mergeCell ref="A203:H203"/>
    <mergeCell ref="A1:S1"/>
  </mergeCells>
  <conditionalFormatting sqref="R3:R202">
    <cfRule type="containsText" priority="1" operator="containsText" dxfId="0" text="Sí"/>
    <cfRule type="containsText" priority="2" operator="containsText" dxfId="1" text="No"/>
  </conditionalFormatting>
  <dataValidations count="3">
    <dataValidation sqref="G3:G202" showDropDown="0" showInputMessage="0" showErrorMessage="0" allowBlank="1" type="list">
      <formula1>"Sí,No"</formula1>
    </dataValidation>
    <dataValidation sqref="P3:P202" showDropDown="0" showInputMessage="0" showErrorMessage="0" allowBlank="1" type="list">
      <formula1>"Baja,Media,Alta,Prioritaria"</formula1>
    </dataValidation>
    <dataValidation sqref="Q3:Q202" showDropDown="0" showInputMessage="0" showErrorMessage="0" allowBlank="1" type="list">
      <formula1>"Pendiente,En diseño,En producción,Listo para entrega,Entregado,Cancelado"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3" t="inlineStr">
        <is>
          <t>GM7 PRO · ESTADO DE CUENTA Y PAGOS</t>
        </is>
      </c>
    </row>
    <row r="2">
      <c r="A2" s="14" t="inlineStr">
        <is>
          <t>ID Trabajo</t>
        </is>
      </c>
      <c r="B2" s="14" t="inlineStr">
        <is>
          <t>Fecha Pedido</t>
        </is>
      </c>
      <c r="C2" s="14" t="inlineStr">
        <is>
          <t>Cliente</t>
        </is>
      </c>
      <c r="D2" s="14" t="inlineStr">
        <is>
          <t>Descripción</t>
        </is>
      </c>
      <c r="E2" s="14" t="inlineStr">
        <is>
          <t>Total Trabajo</t>
        </is>
      </c>
      <c r="F2" s="14" t="inlineStr">
        <is>
          <t>Anticipo Recibido</t>
        </is>
      </c>
      <c r="G2" s="14" t="inlineStr">
        <is>
          <t>Saldo Pendiente</t>
        </is>
      </c>
      <c r="H2" s="14" t="inlineStr">
        <is>
          <t>Estado Pago</t>
        </is>
      </c>
    </row>
    <row r="3">
      <c r="A3" s="15">
        <f>IF(TRABAJOS!B3="","",TRABAJOS!A3)</f>
        <v/>
      </c>
      <c r="B3" s="15">
        <f>IF(TRABAJOS!B3="","",TRABAJOS!B3)</f>
        <v/>
      </c>
      <c r="C3" s="15">
        <f>IF(TRABAJOS!B3="","",TRABAJOS!C3)</f>
        <v/>
      </c>
      <c r="D3" s="15">
        <f>IF(TRABAJOS!B3="","",TRABAJOS!E3)</f>
        <v/>
      </c>
      <c r="E3" s="16">
        <f>IF(TRABAJOS!B3="","",TRABAJOS!I3)</f>
        <v/>
      </c>
      <c r="F3" s="16">
        <f>IF(TRABAJOS!B3="","",TRABAJOS!K3)</f>
        <v/>
      </c>
      <c r="G3" s="16">
        <f>IF(TRABAJOS!B3="","",TRABAJOS!L3)</f>
        <v/>
      </c>
      <c r="H3" s="15">
        <f>IF(TRABAJOS!B3="","",IF(TRABAJOS!L3&lt;=0,"Liquidado","Parcial"))</f>
        <v/>
      </c>
    </row>
    <row r="4">
      <c r="A4" s="17">
        <f>IF(TRABAJOS!B4="","",TRABAJOS!A4)</f>
        <v/>
      </c>
      <c r="B4" s="17">
        <f>IF(TRABAJOS!B4="","",TRABAJOS!B4)</f>
        <v/>
      </c>
      <c r="C4" s="17">
        <f>IF(TRABAJOS!B4="","",TRABAJOS!C4)</f>
        <v/>
      </c>
      <c r="D4" s="17">
        <f>IF(TRABAJOS!B4="","",TRABAJOS!E4)</f>
        <v/>
      </c>
      <c r="E4" s="18">
        <f>IF(TRABAJOS!B4="","",TRABAJOS!I4)</f>
        <v/>
      </c>
      <c r="F4" s="18">
        <f>IF(TRABAJOS!B4="","",TRABAJOS!K4)</f>
        <v/>
      </c>
      <c r="G4" s="18">
        <f>IF(TRABAJOS!B4="","",TRABAJOS!L4)</f>
        <v/>
      </c>
      <c r="H4" s="17">
        <f>IF(TRABAJOS!B4="","",IF(TRABAJOS!L4&lt;=0,"Liquidado","Parcial"))</f>
        <v/>
      </c>
    </row>
    <row r="5">
      <c r="A5" s="15">
        <f>IF(TRABAJOS!B5="","",TRABAJOS!A5)</f>
        <v/>
      </c>
      <c r="B5" s="15">
        <f>IF(TRABAJOS!B5="","",TRABAJOS!B5)</f>
        <v/>
      </c>
      <c r="C5" s="15">
        <f>IF(TRABAJOS!B5="","",TRABAJOS!C5)</f>
        <v/>
      </c>
      <c r="D5" s="15">
        <f>IF(TRABAJOS!B5="","",TRABAJOS!E5)</f>
        <v/>
      </c>
      <c r="E5" s="16">
        <f>IF(TRABAJOS!B5="","",TRABAJOS!I5)</f>
        <v/>
      </c>
      <c r="F5" s="16">
        <f>IF(TRABAJOS!B5="","",TRABAJOS!K5)</f>
        <v/>
      </c>
      <c r="G5" s="16">
        <f>IF(TRABAJOS!B5="","",TRABAJOS!L5)</f>
        <v/>
      </c>
      <c r="H5" s="15">
        <f>IF(TRABAJOS!B5="","",IF(TRABAJOS!L5&lt;=0,"Liquidado","Parcial"))</f>
        <v/>
      </c>
    </row>
    <row r="6">
      <c r="A6" s="17">
        <f>IF(TRABAJOS!B6="","",TRABAJOS!A6)</f>
        <v/>
      </c>
      <c r="B6" s="17">
        <f>IF(TRABAJOS!B6="","",TRABAJOS!B6)</f>
        <v/>
      </c>
      <c r="C6" s="17">
        <f>IF(TRABAJOS!B6="","",TRABAJOS!C6)</f>
        <v/>
      </c>
      <c r="D6" s="17">
        <f>IF(TRABAJOS!B6="","",TRABAJOS!E6)</f>
        <v/>
      </c>
      <c r="E6" s="18">
        <f>IF(TRABAJOS!B6="","",TRABAJOS!I6)</f>
        <v/>
      </c>
      <c r="F6" s="18">
        <f>IF(TRABAJOS!B6="","",TRABAJOS!K6)</f>
        <v/>
      </c>
      <c r="G6" s="18">
        <f>IF(TRABAJOS!B6="","",TRABAJOS!L6)</f>
        <v/>
      </c>
      <c r="H6" s="17">
        <f>IF(TRABAJOS!B6="","",IF(TRABAJOS!L6&lt;=0,"Liquidado","Parcial"))</f>
        <v/>
      </c>
    </row>
    <row r="7">
      <c r="A7" s="15">
        <f>IF(TRABAJOS!B7="","",TRABAJOS!A7)</f>
        <v/>
      </c>
      <c r="B7" s="15">
        <f>IF(TRABAJOS!B7="","",TRABAJOS!B7)</f>
        <v/>
      </c>
      <c r="C7" s="15">
        <f>IF(TRABAJOS!B7="","",TRABAJOS!C7)</f>
        <v/>
      </c>
      <c r="D7" s="15">
        <f>IF(TRABAJOS!B7="","",TRABAJOS!E7)</f>
        <v/>
      </c>
      <c r="E7" s="16">
        <f>IF(TRABAJOS!B7="","",TRABAJOS!I7)</f>
        <v/>
      </c>
      <c r="F7" s="16">
        <f>IF(TRABAJOS!B7="","",TRABAJOS!K7)</f>
        <v/>
      </c>
      <c r="G7" s="16">
        <f>IF(TRABAJOS!B7="","",TRABAJOS!L7)</f>
        <v/>
      </c>
      <c r="H7" s="15">
        <f>IF(TRABAJOS!B7="","",IF(TRABAJOS!L7&lt;=0,"Liquidado","Parcial"))</f>
        <v/>
      </c>
    </row>
    <row r="8">
      <c r="A8" s="17">
        <f>IF(TRABAJOS!B8="","",TRABAJOS!A8)</f>
        <v/>
      </c>
      <c r="B8" s="17">
        <f>IF(TRABAJOS!B8="","",TRABAJOS!B8)</f>
        <v/>
      </c>
      <c r="C8" s="17">
        <f>IF(TRABAJOS!B8="","",TRABAJOS!C8)</f>
        <v/>
      </c>
      <c r="D8" s="17">
        <f>IF(TRABAJOS!B8="","",TRABAJOS!E8)</f>
        <v/>
      </c>
      <c r="E8" s="18">
        <f>IF(TRABAJOS!B8="","",TRABAJOS!I8)</f>
        <v/>
      </c>
      <c r="F8" s="18">
        <f>IF(TRABAJOS!B8="","",TRABAJOS!K8)</f>
        <v/>
      </c>
      <c r="G8" s="18">
        <f>IF(TRABAJOS!B8="","",TRABAJOS!L8)</f>
        <v/>
      </c>
      <c r="H8" s="17">
        <f>IF(TRABAJOS!B8="","",IF(TRABAJOS!L8&lt;=0,"Liquidado","Parcial"))</f>
        <v/>
      </c>
    </row>
    <row r="9">
      <c r="A9" s="15">
        <f>IF(TRABAJOS!B9="","",TRABAJOS!A9)</f>
        <v/>
      </c>
      <c r="B9" s="15">
        <f>IF(TRABAJOS!B9="","",TRABAJOS!B9)</f>
        <v/>
      </c>
      <c r="C9" s="15">
        <f>IF(TRABAJOS!B9="","",TRABAJOS!C9)</f>
        <v/>
      </c>
      <c r="D9" s="15">
        <f>IF(TRABAJOS!B9="","",TRABAJOS!E9)</f>
        <v/>
      </c>
      <c r="E9" s="16">
        <f>IF(TRABAJOS!B9="","",TRABAJOS!I9)</f>
        <v/>
      </c>
      <c r="F9" s="16">
        <f>IF(TRABAJOS!B9="","",TRABAJOS!K9)</f>
        <v/>
      </c>
      <c r="G9" s="16">
        <f>IF(TRABAJOS!B9="","",TRABAJOS!L9)</f>
        <v/>
      </c>
      <c r="H9" s="15">
        <f>IF(TRABAJOS!B9="","",IF(TRABAJOS!L9&lt;=0,"Liquidado","Parcial"))</f>
        <v/>
      </c>
    </row>
    <row r="10">
      <c r="A10" s="17">
        <f>IF(TRABAJOS!B10="","",TRABAJOS!A10)</f>
        <v/>
      </c>
      <c r="B10" s="17">
        <f>IF(TRABAJOS!B10="","",TRABAJOS!B10)</f>
        <v/>
      </c>
      <c r="C10" s="17">
        <f>IF(TRABAJOS!B10="","",TRABAJOS!C10)</f>
        <v/>
      </c>
      <c r="D10" s="17">
        <f>IF(TRABAJOS!B10="","",TRABAJOS!E10)</f>
        <v/>
      </c>
      <c r="E10" s="18">
        <f>IF(TRABAJOS!B10="","",TRABAJOS!I10)</f>
        <v/>
      </c>
      <c r="F10" s="18">
        <f>IF(TRABAJOS!B10="","",TRABAJOS!K10)</f>
        <v/>
      </c>
      <c r="G10" s="18">
        <f>IF(TRABAJOS!B10="","",TRABAJOS!L10)</f>
        <v/>
      </c>
      <c r="H10" s="17">
        <f>IF(TRABAJOS!B10="","",IF(TRABAJOS!L10&lt;=0,"Liquidado","Parcial"))</f>
        <v/>
      </c>
    </row>
    <row r="11">
      <c r="A11" s="15">
        <f>IF(TRABAJOS!B11="","",TRABAJOS!A11)</f>
        <v/>
      </c>
      <c r="B11" s="15">
        <f>IF(TRABAJOS!B11="","",TRABAJOS!B11)</f>
        <v/>
      </c>
      <c r="C11" s="15">
        <f>IF(TRABAJOS!B11="","",TRABAJOS!C11)</f>
        <v/>
      </c>
      <c r="D11" s="15">
        <f>IF(TRABAJOS!B11="","",TRABAJOS!E11)</f>
        <v/>
      </c>
      <c r="E11" s="16">
        <f>IF(TRABAJOS!B11="","",TRABAJOS!I11)</f>
        <v/>
      </c>
      <c r="F11" s="16">
        <f>IF(TRABAJOS!B11="","",TRABAJOS!K11)</f>
        <v/>
      </c>
      <c r="G11" s="16">
        <f>IF(TRABAJOS!B11="","",TRABAJOS!L11)</f>
        <v/>
      </c>
      <c r="H11" s="15">
        <f>IF(TRABAJOS!B11="","",IF(TRABAJOS!L11&lt;=0,"Liquidado","Parcial"))</f>
        <v/>
      </c>
    </row>
    <row r="12">
      <c r="A12" s="17">
        <f>IF(TRABAJOS!B12="","",TRABAJOS!A12)</f>
        <v/>
      </c>
      <c r="B12" s="17">
        <f>IF(TRABAJOS!B12="","",TRABAJOS!B12)</f>
        <v/>
      </c>
      <c r="C12" s="17">
        <f>IF(TRABAJOS!B12="","",TRABAJOS!C12)</f>
        <v/>
      </c>
      <c r="D12" s="17">
        <f>IF(TRABAJOS!B12="","",TRABAJOS!E12)</f>
        <v/>
      </c>
      <c r="E12" s="18">
        <f>IF(TRABAJOS!B12="","",TRABAJOS!I12)</f>
        <v/>
      </c>
      <c r="F12" s="18">
        <f>IF(TRABAJOS!B12="","",TRABAJOS!K12)</f>
        <v/>
      </c>
      <c r="G12" s="18">
        <f>IF(TRABAJOS!B12="","",TRABAJOS!L12)</f>
        <v/>
      </c>
      <c r="H12" s="17">
        <f>IF(TRABAJOS!B12="","",IF(TRABAJOS!L12&lt;=0,"Liquidado","Parcial"))</f>
        <v/>
      </c>
    </row>
    <row r="13">
      <c r="A13" s="15">
        <f>IF(TRABAJOS!B13="","",TRABAJOS!A13)</f>
        <v/>
      </c>
      <c r="B13" s="15">
        <f>IF(TRABAJOS!B13="","",TRABAJOS!B13)</f>
        <v/>
      </c>
      <c r="C13" s="15">
        <f>IF(TRABAJOS!B13="","",TRABAJOS!C13)</f>
        <v/>
      </c>
      <c r="D13" s="15">
        <f>IF(TRABAJOS!B13="","",TRABAJOS!E13)</f>
        <v/>
      </c>
      <c r="E13" s="16">
        <f>IF(TRABAJOS!B13="","",TRABAJOS!I13)</f>
        <v/>
      </c>
      <c r="F13" s="16">
        <f>IF(TRABAJOS!B13="","",TRABAJOS!K13)</f>
        <v/>
      </c>
      <c r="G13" s="16">
        <f>IF(TRABAJOS!B13="","",TRABAJOS!L13)</f>
        <v/>
      </c>
      <c r="H13" s="15">
        <f>IF(TRABAJOS!B13="","",IF(TRABAJOS!L13&lt;=0,"Liquidado","Parcial"))</f>
        <v/>
      </c>
    </row>
    <row r="14">
      <c r="A14" s="17">
        <f>IF(TRABAJOS!B14="","",TRABAJOS!A14)</f>
        <v/>
      </c>
      <c r="B14" s="17">
        <f>IF(TRABAJOS!B14="","",TRABAJOS!B14)</f>
        <v/>
      </c>
      <c r="C14" s="17">
        <f>IF(TRABAJOS!B14="","",TRABAJOS!C14)</f>
        <v/>
      </c>
      <c r="D14" s="17">
        <f>IF(TRABAJOS!B14="","",TRABAJOS!E14)</f>
        <v/>
      </c>
      <c r="E14" s="18">
        <f>IF(TRABAJOS!B14="","",TRABAJOS!I14)</f>
        <v/>
      </c>
      <c r="F14" s="18">
        <f>IF(TRABAJOS!B14="","",TRABAJOS!K14)</f>
        <v/>
      </c>
      <c r="G14" s="18">
        <f>IF(TRABAJOS!B14="","",TRABAJOS!L14)</f>
        <v/>
      </c>
      <c r="H14" s="17">
        <f>IF(TRABAJOS!B14="","",IF(TRABAJOS!L14&lt;=0,"Liquidado","Parcial"))</f>
        <v/>
      </c>
    </row>
    <row r="15">
      <c r="A15" s="15">
        <f>IF(TRABAJOS!B15="","",TRABAJOS!A15)</f>
        <v/>
      </c>
      <c r="B15" s="15">
        <f>IF(TRABAJOS!B15="","",TRABAJOS!B15)</f>
        <v/>
      </c>
      <c r="C15" s="15">
        <f>IF(TRABAJOS!B15="","",TRABAJOS!C15)</f>
        <v/>
      </c>
      <c r="D15" s="15">
        <f>IF(TRABAJOS!B15="","",TRABAJOS!E15)</f>
        <v/>
      </c>
      <c r="E15" s="16">
        <f>IF(TRABAJOS!B15="","",TRABAJOS!I15)</f>
        <v/>
      </c>
      <c r="F15" s="16">
        <f>IF(TRABAJOS!B15="","",TRABAJOS!K15)</f>
        <v/>
      </c>
      <c r="G15" s="16">
        <f>IF(TRABAJOS!B15="","",TRABAJOS!L15)</f>
        <v/>
      </c>
      <c r="H15" s="15">
        <f>IF(TRABAJOS!B15="","",IF(TRABAJOS!L15&lt;=0,"Liquidado","Parcial"))</f>
        <v/>
      </c>
    </row>
    <row r="16">
      <c r="A16" s="17">
        <f>IF(TRABAJOS!B16="","",TRABAJOS!A16)</f>
        <v/>
      </c>
      <c r="B16" s="17">
        <f>IF(TRABAJOS!B16="","",TRABAJOS!B16)</f>
        <v/>
      </c>
      <c r="C16" s="17">
        <f>IF(TRABAJOS!B16="","",TRABAJOS!C16)</f>
        <v/>
      </c>
      <c r="D16" s="17">
        <f>IF(TRABAJOS!B16="","",TRABAJOS!E16)</f>
        <v/>
      </c>
      <c r="E16" s="18">
        <f>IF(TRABAJOS!B16="","",TRABAJOS!I16)</f>
        <v/>
      </c>
      <c r="F16" s="18">
        <f>IF(TRABAJOS!B16="","",TRABAJOS!K16)</f>
        <v/>
      </c>
      <c r="G16" s="18">
        <f>IF(TRABAJOS!B16="","",TRABAJOS!L16)</f>
        <v/>
      </c>
      <c r="H16" s="17">
        <f>IF(TRABAJOS!B16="","",IF(TRABAJOS!L16&lt;=0,"Liquidado","Parcial"))</f>
        <v/>
      </c>
    </row>
    <row r="17">
      <c r="A17" s="15">
        <f>IF(TRABAJOS!B17="","",TRABAJOS!A17)</f>
        <v/>
      </c>
      <c r="B17" s="15">
        <f>IF(TRABAJOS!B17="","",TRABAJOS!B17)</f>
        <v/>
      </c>
      <c r="C17" s="15">
        <f>IF(TRABAJOS!B17="","",TRABAJOS!C17)</f>
        <v/>
      </c>
      <c r="D17" s="15">
        <f>IF(TRABAJOS!B17="","",TRABAJOS!E17)</f>
        <v/>
      </c>
      <c r="E17" s="16">
        <f>IF(TRABAJOS!B17="","",TRABAJOS!I17)</f>
        <v/>
      </c>
      <c r="F17" s="16">
        <f>IF(TRABAJOS!B17="","",TRABAJOS!K17)</f>
        <v/>
      </c>
      <c r="G17" s="16">
        <f>IF(TRABAJOS!B17="","",TRABAJOS!L17)</f>
        <v/>
      </c>
      <c r="H17" s="15">
        <f>IF(TRABAJOS!B17="","",IF(TRABAJOS!L17&lt;=0,"Liquidado","Parcial"))</f>
        <v/>
      </c>
    </row>
    <row r="18">
      <c r="A18" s="17">
        <f>IF(TRABAJOS!B18="","",TRABAJOS!A18)</f>
        <v/>
      </c>
      <c r="B18" s="17">
        <f>IF(TRABAJOS!B18="","",TRABAJOS!B18)</f>
        <v/>
      </c>
      <c r="C18" s="17">
        <f>IF(TRABAJOS!B18="","",TRABAJOS!C18)</f>
        <v/>
      </c>
      <c r="D18" s="17">
        <f>IF(TRABAJOS!B18="","",TRABAJOS!E18)</f>
        <v/>
      </c>
      <c r="E18" s="18">
        <f>IF(TRABAJOS!B18="","",TRABAJOS!I18)</f>
        <v/>
      </c>
      <c r="F18" s="18">
        <f>IF(TRABAJOS!B18="","",TRABAJOS!K18)</f>
        <v/>
      </c>
      <c r="G18" s="18">
        <f>IF(TRABAJOS!B18="","",TRABAJOS!L18)</f>
        <v/>
      </c>
      <c r="H18" s="17">
        <f>IF(TRABAJOS!B18="","",IF(TRABAJOS!L18&lt;=0,"Liquidado","Parcial"))</f>
        <v/>
      </c>
    </row>
    <row r="19">
      <c r="A19" s="15">
        <f>IF(TRABAJOS!B19="","",TRABAJOS!A19)</f>
        <v/>
      </c>
      <c r="B19" s="15">
        <f>IF(TRABAJOS!B19="","",TRABAJOS!B19)</f>
        <v/>
      </c>
      <c r="C19" s="15">
        <f>IF(TRABAJOS!B19="","",TRABAJOS!C19)</f>
        <v/>
      </c>
      <c r="D19" s="15">
        <f>IF(TRABAJOS!B19="","",TRABAJOS!E19)</f>
        <v/>
      </c>
      <c r="E19" s="16">
        <f>IF(TRABAJOS!B19="","",TRABAJOS!I19)</f>
        <v/>
      </c>
      <c r="F19" s="16">
        <f>IF(TRABAJOS!B19="","",TRABAJOS!K19)</f>
        <v/>
      </c>
      <c r="G19" s="16">
        <f>IF(TRABAJOS!B19="","",TRABAJOS!L19)</f>
        <v/>
      </c>
      <c r="H19" s="15">
        <f>IF(TRABAJOS!B19="","",IF(TRABAJOS!L19&lt;=0,"Liquidado","Parcial"))</f>
        <v/>
      </c>
    </row>
    <row r="20">
      <c r="A20" s="17">
        <f>IF(TRABAJOS!B20="","",TRABAJOS!A20)</f>
        <v/>
      </c>
      <c r="B20" s="17">
        <f>IF(TRABAJOS!B20="","",TRABAJOS!B20)</f>
        <v/>
      </c>
      <c r="C20" s="17">
        <f>IF(TRABAJOS!B20="","",TRABAJOS!C20)</f>
        <v/>
      </c>
      <c r="D20" s="17">
        <f>IF(TRABAJOS!B20="","",TRABAJOS!E20)</f>
        <v/>
      </c>
      <c r="E20" s="18">
        <f>IF(TRABAJOS!B20="","",TRABAJOS!I20)</f>
        <v/>
      </c>
      <c r="F20" s="18">
        <f>IF(TRABAJOS!B20="","",TRABAJOS!K20)</f>
        <v/>
      </c>
      <c r="G20" s="18">
        <f>IF(TRABAJOS!B20="","",TRABAJOS!L20)</f>
        <v/>
      </c>
      <c r="H20" s="17">
        <f>IF(TRABAJOS!B20="","",IF(TRABAJOS!L20&lt;=0,"Liquidado","Parcial"))</f>
        <v/>
      </c>
    </row>
    <row r="21">
      <c r="A21" s="15">
        <f>IF(TRABAJOS!B21="","",TRABAJOS!A21)</f>
        <v/>
      </c>
      <c r="B21" s="15">
        <f>IF(TRABAJOS!B21="","",TRABAJOS!B21)</f>
        <v/>
      </c>
      <c r="C21" s="15">
        <f>IF(TRABAJOS!B21="","",TRABAJOS!C21)</f>
        <v/>
      </c>
      <c r="D21" s="15">
        <f>IF(TRABAJOS!B21="","",TRABAJOS!E21)</f>
        <v/>
      </c>
      <c r="E21" s="16">
        <f>IF(TRABAJOS!B21="","",TRABAJOS!I21)</f>
        <v/>
      </c>
      <c r="F21" s="16">
        <f>IF(TRABAJOS!B21="","",TRABAJOS!K21)</f>
        <v/>
      </c>
      <c r="G21" s="16">
        <f>IF(TRABAJOS!B21="","",TRABAJOS!L21)</f>
        <v/>
      </c>
      <c r="H21" s="15">
        <f>IF(TRABAJOS!B21="","",IF(TRABAJOS!L21&lt;=0,"Liquidado","Parcial"))</f>
        <v/>
      </c>
    </row>
    <row r="22">
      <c r="A22" s="17">
        <f>IF(TRABAJOS!B22="","",TRABAJOS!A22)</f>
        <v/>
      </c>
      <c r="B22" s="17">
        <f>IF(TRABAJOS!B22="","",TRABAJOS!B22)</f>
        <v/>
      </c>
      <c r="C22" s="17">
        <f>IF(TRABAJOS!B22="","",TRABAJOS!C22)</f>
        <v/>
      </c>
      <c r="D22" s="17">
        <f>IF(TRABAJOS!B22="","",TRABAJOS!E22)</f>
        <v/>
      </c>
      <c r="E22" s="18">
        <f>IF(TRABAJOS!B22="","",TRABAJOS!I22)</f>
        <v/>
      </c>
      <c r="F22" s="18">
        <f>IF(TRABAJOS!B22="","",TRABAJOS!K22)</f>
        <v/>
      </c>
      <c r="G22" s="18">
        <f>IF(TRABAJOS!B22="","",TRABAJOS!L22)</f>
        <v/>
      </c>
      <c r="H22" s="17">
        <f>IF(TRABAJOS!B22="","",IF(TRABAJOS!L22&lt;=0,"Liquidado","Parcial"))</f>
        <v/>
      </c>
    </row>
    <row r="23">
      <c r="A23" s="15">
        <f>IF(TRABAJOS!B23="","",TRABAJOS!A23)</f>
        <v/>
      </c>
      <c r="B23" s="15">
        <f>IF(TRABAJOS!B23="","",TRABAJOS!B23)</f>
        <v/>
      </c>
      <c r="C23" s="15">
        <f>IF(TRABAJOS!B23="","",TRABAJOS!C23)</f>
        <v/>
      </c>
      <c r="D23" s="15">
        <f>IF(TRABAJOS!B23="","",TRABAJOS!E23)</f>
        <v/>
      </c>
      <c r="E23" s="16">
        <f>IF(TRABAJOS!B23="","",TRABAJOS!I23)</f>
        <v/>
      </c>
      <c r="F23" s="16">
        <f>IF(TRABAJOS!B23="","",TRABAJOS!K23)</f>
        <v/>
      </c>
      <c r="G23" s="16">
        <f>IF(TRABAJOS!B23="","",TRABAJOS!L23)</f>
        <v/>
      </c>
      <c r="H23" s="15">
        <f>IF(TRABAJOS!B23="","",IF(TRABAJOS!L23&lt;=0,"Liquidado","Parcial"))</f>
        <v/>
      </c>
    </row>
    <row r="24">
      <c r="A24" s="17">
        <f>IF(TRABAJOS!B24="","",TRABAJOS!A24)</f>
        <v/>
      </c>
      <c r="B24" s="17">
        <f>IF(TRABAJOS!B24="","",TRABAJOS!B24)</f>
        <v/>
      </c>
      <c r="C24" s="17">
        <f>IF(TRABAJOS!B24="","",TRABAJOS!C24)</f>
        <v/>
      </c>
      <c r="D24" s="17">
        <f>IF(TRABAJOS!B24="","",TRABAJOS!E24)</f>
        <v/>
      </c>
      <c r="E24" s="18">
        <f>IF(TRABAJOS!B24="","",TRABAJOS!I24)</f>
        <v/>
      </c>
      <c r="F24" s="18">
        <f>IF(TRABAJOS!B24="","",TRABAJOS!K24)</f>
        <v/>
      </c>
      <c r="G24" s="18">
        <f>IF(TRABAJOS!B24="","",TRABAJOS!L24)</f>
        <v/>
      </c>
      <c r="H24" s="17">
        <f>IF(TRABAJOS!B24="","",IF(TRABAJOS!L24&lt;=0,"Liquidado","Parcial"))</f>
        <v/>
      </c>
    </row>
    <row r="25">
      <c r="A25" s="15">
        <f>IF(TRABAJOS!B25="","",TRABAJOS!A25)</f>
        <v/>
      </c>
      <c r="B25" s="15">
        <f>IF(TRABAJOS!B25="","",TRABAJOS!B25)</f>
        <v/>
      </c>
      <c r="C25" s="15">
        <f>IF(TRABAJOS!B25="","",TRABAJOS!C25)</f>
        <v/>
      </c>
      <c r="D25" s="15">
        <f>IF(TRABAJOS!B25="","",TRABAJOS!E25)</f>
        <v/>
      </c>
      <c r="E25" s="16">
        <f>IF(TRABAJOS!B25="","",TRABAJOS!I25)</f>
        <v/>
      </c>
      <c r="F25" s="16">
        <f>IF(TRABAJOS!B25="","",TRABAJOS!K25)</f>
        <v/>
      </c>
      <c r="G25" s="16">
        <f>IF(TRABAJOS!B25="","",TRABAJOS!L25)</f>
        <v/>
      </c>
      <c r="H25" s="15">
        <f>IF(TRABAJOS!B25="","",IF(TRABAJOS!L25&lt;=0,"Liquidado","Parcial"))</f>
        <v/>
      </c>
    </row>
    <row r="26">
      <c r="A26" s="17">
        <f>IF(TRABAJOS!B26="","",TRABAJOS!A26)</f>
        <v/>
      </c>
      <c r="B26" s="17">
        <f>IF(TRABAJOS!B26="","",TRABAJOS!B26)</f>
        <v/>
      </c>
      <c r="C26" s="17">
        <f>IF(TRABAJOS!B26="","",TRABAJOS!C26)</f>
        <v/>
      </c>
      <c r="D26" s="17">
        <f>IF(TRABAJOS!B26="","",TRABAJOS!E26)</f>
        <v/>
      </c>
      <c r="E26" s="18">
        <f>IF(TRABAJOS!B26="","",TRABAJOS!I26)</f>
        <v/>
      </c>
      <c r="F26" s="18">
        <f>IF(TRABAJOS!B26="","",TRABAJOS!K26)</f>
        <v/>
      </c>
      <c r="G26" s="18">
        <f>IF(TRABAJOS!B26="","",TRABAJOS!L26)</f>
        <v/>
      </c>
      <c r="H26" s="17">
        <f>IF(TRABAJOS!B26="","",IF(TRABAJOS!L26&lt;=0,"Liquidado","Parcial"))</f>
        <v/>
      </c>
    </row>
    <row r="27">
      <c r="A27" s="15">
        <f>IF(TRABAJOS!B27="","",TRABAJOS!A27)</f>
        <v/>
      </c>
      <c r="B27" s="15">
        <f>IF(TRABAJOS!B27="","",TRABAJOS!B27)</f>
        <v/>
      </c>
      <c r="C27" s="15">
        <f>IF(TRABAJOS!B27="","",TRABAJOS!C27)</f>
        <v/>
      </c>
      <c r="D27" s="15">
        <f>IF(TRABAJOS!B27="","",TRABAJOS!E27)</f>
        <v/>
      </c>
      <c r="E27" s="16">
        <f>IF(TRABAJOS!B27="","",TRABAJOS!I27)</f>
        <v/>
      </c>
      <c r="F27" s="16">
        <f>IF(TRABAJOS!B27="","",TRABAJOS!K27)</f>
        <v/>
      </c>
      <c r="G27" s="16">
        <f>IF(TRABAJOS!B27="","",TRABAJOS!L27)</f>
        <v/>
      </c>
      <c r="H27" s="15">
        <f>IF(TRABAJOS!B27="","",IF(TRABAJOS!L27&lt;=0,"Liquidado","Parcial"))</f>
        <v/>
      </c>
    </row>
    <row r="28">
      <c r="A28" s="17">
        <f>IF(TRABAJOS!B28="","",TRABAJOS!A28)</f>
        <v/>
      </c>
      <c r="B28" s="17">
        <f>IF(TRABAJOS!B28="","",TRABAJOS!B28)</f>
        <v/>
      </c>
      <c r="C28" s="17">
        <f>IF(TRABAJOS!B28="","",TRABAJOS!C28)</f>
        <v/>
      </c>
      <c r="D28" s="17">
        <f>IF(TRABAJOS!B28="","",TRABAJOS!E28)</f>
        <v/>
      </c>
      <c r="E28" s="18">
        <f>IF(TRABAJOS!B28="","",TRABAJOS!I28)</f>
        <v/>
      </c>
      <c r="F28" s="18">
        <f>IF(TRABAJOS!B28="","",TRABAJOS!K28)</f>
        <v/>
      </c>
      <c r="G28" s="18">
        <f>IF(TRABAJOS!B28="","",TRABAJOS!L28)</f>
        <v/>
      </c>
      <c r="H28" s="17">
        <f>IF(TRABAJOS!B28="","",IF(TRABAJOS!L28&lt;=0,"Liquidado","Parcial"))</f>
        <v/>
      </c>
    </row>
    <row r="29">
      <c r="A29" s="15">
        <f>IF(TRABAJOS!B29="","",TRABAJOS!A29)</f>
        <v/>
      </c>
      <c r="B29" s="15">
        <f>IF(TRABAJOS!B29="","",TRABAJOS!B29)</f>
        <v/>
      </c>
      <c r="C29" s="15">
        <f>IF(TRABAJOS!B29="","",TRABAJOS!C29)</f>
        <v/>
      </c>
      <c r="D29" s="15">
        <f>IF(TRABAJOS!B29="","",TRABAJOS!E29)</f>
        <v/>
      </c>
      <c r="E29" s="16">
        <f>IF(TRABAJOS!B29="","",TRABAJOS!I29)</f>
        <v/>
      </c>
      <c r="F29" s="16">
        <f>IF(TRABAJOS!B29="","",TRABAJOS!K29)</f>
        <v/>
      </c>
      <c r="G29" s="16">
        <f>IF(TRABAJOS!B29="","",TRABAJOS!L29)</f>
        <v/>
      </c>
      <c r="H29" s="15">
        <f>IF(TRABAJOS!B29="","",IF(TRABAJOS!L29&lt;=0,"Liquidado","Parcial"))</f>
        <v/>
      </c>
    </row>
    <row r="30">
      <c r="A30" s="17">
        <f>IF(TRABAJOS!B30="","",TRABAJOS!A30)</f>
        <v/>
      </c>
      <c r="B30" s="17">
        <f>IF(TRABAJOS!B30="","",TRABAJOS!B30)</f>
        <v/>
      </c>
      <c r="C30" s="17">
        <f>IF(TRABAJOS!B30="","",TRABAJOS!C30)</f>
        <v/>
      </c>
      <c r="D30" s="17">
        <f>IF(TRABAJOS!B30="","",TRABAJOS!E30)</f>
        <v/>
      </c>
      <c r="E30" s="18">
        <f>IF(TRABAJOS!B30="","",TRABAJOS!I30)</f>
        <v/>
      </c>
      <c r="F30" s="18">
        <f>IF(TRABAJOS!B30="","",TRABAJOS!K30)</f>
        <v/>
      </c>
      <c r="G30" s="18">
        <f>IF(TRABAJOS!B30="","",TRABAJOS!L30)</f>
        <v/>
      </c>
      <c r="H30" s="17">
        <f>IF(TRABAJOS!B30="","",IF(TRABAJOS!L30&lt;=0,"Liquidado","Parcial"))</f>
        <v/>
      </c>
    </row>
    <row r="31">
      <c r="A31" s="15">
        <f>IF(TRABAJOS!B31="","",TRABAJOS!A31)</f>
        <v/>
      </c>
      <c r="B31" s="15">
        <f>IF(TRABAJOS!B31="","",TRABAJOS!B31)</f>
        <v/>
      </c>
      <c r="C31" s="15">
        <f>IF(TRABAJOS!B31="","",TRABAJOS!C31)</f>
        <v/>
      </c>
      <c r="D31" s="15">
        <f>IF(TRABAJOS!B31="","",TRABAJOS!E31)</f>
        <v/>
      </c>
      <c r="E31" s="16">
        <f>IF(TRABAJOS!B31="","",TRABAJOS!I31)</f>
        <v/>
      </c>
      <c r="F31" s="16">
        <f>IF(TRABAJOS!B31="","",TRABAJOS!K31)</f>
        <v/>
      </c>
      <c r="G31" s="16">
        <f>IF(TRABAJOS!B31="","",TRABAJOS!L31)</f>
        <v/>
      </c>
      <c r="H31" s="15">
        <f>IF(TRABAJOS!B31="","",IF(TRABAJOS!L31&lt;=0,"Liquidado","Parcial"))</f>
        <v/>
      </c>
    </row>
    <row r="32">
      <c r="A32" s="17">
        <f>IF(TRABAJOS!B32="","",TRABAJOS!A32)</f>
        <v/>
      </c>
      <c r="B32" s="17">
        <f>IF(TRABAJOS!B32="","",TRABAJOS!B32)</f>
        <v/>
      </c>
      <c r="C32" s="17">
        <f>IF(TRABAJOS!B32="","",TRABAJOS!C32)</f>
        <v/>
      </c>
      <c r="D32" s="17">
        <f>IF(TRABAJOS!B32="","",TRABAJOS!E32)</f>
        <v/>
      </c>
      <c r="E32" s="18">
        <f>IF(TRABAJOS!B32="","",TRABAJOS!I32)</f>
        <v/>
      </c>
      <c r="F32" s="18">
        <f>IF(TRABAJOS!B32="","",TRABAJOS!K32)</f>
        <v/>
      </c>
      <c r="G32" s="18">
        <f>IF(TRABAJOS!B32="","",TRABAJOS!L32)</f>
        <v/>
      </c>
      <c r="H32" s="17">
        <f>IF(TRABAJOS!B32="","",IF(TRABAJOS!L32&lt;=0,"Liquidado","Parcial"))</f>
        <v/>
      </c>
    </row>
    <row r="33">
      <c r="A33" s="15">
        <f>IF(TRABAJOS!B33="","",TRABAJOS!A33)</f>
        <v/>
      </c>
      <c r="B33" s="15">
        <f>IF(TRABAJOS!B33="","",TRABAJOS!B33)</f>
        <v/>
      </c>
      <c r="C33" s="15">
        <f>IF(TRABAJOS!B33="","",TRABAJOS!C33)</f>
        <v/>
      </c>
      <c r="D33" s="15">
        <f>IF(TRABAJOS!B33="","",TRABAJOS!E33)</f>
        <v/>
      </c>
      <c r="E33" s="16">
        <f>IF(TRABAJOS!B33="","",TRABAJOS!I33)</f>
        <v/>
      </c>
      <c r="F33" s="16">
        <f>IF(TRABAJOS!B33="","",TRABAJOS!K33)</f>
        <v/>
      </c>
      <c r="G33" s="16">
        <f>IF(TRABAJOS!B33="","",TRABAJOS!L33)</f>
        <v/>
      </c>
      <c r="H33" s="15">
        <f>IF(TRABAJOS!B33="","",IF(TRABAJOS!L33&lt;=0,"Liquidado","Parcial"))</f>
        <v/>
      </c>
    </row>
    <row r="34">
      <c r="A34" s="17">
        <f>IF(TRABAJOS!B34="","",TRABAJOS!A34)</f>
        <v/>
      </c>
      <c r="B34" s="17">
        <f>IF(TRABAJOS!B34="","",TRABAJOS!B34)</f>
        <v/>
      </c>
      <c r="C34" s="17">
        <f>IF(TRABAJOS!B34="","",TRABAJOS!C34)</f>
        <v/>
      </c>
      <c r="D34" s="17">
        <f>IF(TRABAJOS!B34="","",TRABAJOS!E34)</f>
        <v/>
      </c>
      <c r="E34" s="18">
        <f>IF(TRABAJOS!B34="","",TRABAJOS!I34)</f>
        <v/>
      </c>
      <c r="F34" s="18">
        <f>IF(TRABAJOS!B34="","",TRABAJOS!K34)</f>
        <v/>
      </c>
      <c r="G34" s="18">
        <f>IF(TRABAJOS!B34="","",TRABAJOS!L34)</f>
        <v/>
      </c>
      <c r="H34" s="17">
        <f>IF(TRABAJOS!B34="","",IF(TRABAJOS!L34&lt;=0,"Liquidado","Parcial"))</f>
        <v/>
      </c>
    </row>
    <row r="35">
      <c r="A35" s="15">
        <f>IF(TRABAJOS!B35="","",TRABAJOS!A35)</f>
        <v/>
      </c>
      <c r="B35" s="15">
        <f>IF(TRABAJOS!B35="","",TRABAJOS!B35)</f>
        <v/>
      </c>
      <c r="C35" s="15">
        <f>IF(TRABAJOS!B35="","",TRABAJOS!C35)</f>
        <v/>
      </c>
      <c r="D35" s="15">
        <f>IF(TRABAJOS!B35="","",TRABAJOS!E35)</f>
        <v/>
      </c>
      <c r="E35" s="16">
        <f>IF(TRABAJOS!B35="","",TRABAJOS!I35)</f>
        <v/>
      </c>
      <c r="F35" s="16">
        <f>IF(TRABAJOS!B35="","",TRABAJOS!K35)</f>
        <v/>
      </c>
      <c r="G35" s="16">
        <f>IF(TRABAJOS!B35="","",TRABAJOS!L35)</f>
        <v/>
      </c>
      <c r="H35" s="15">
        <f>IF(TRABAJOS!B35="","",IF(TRABAJOS!L35&lt;=0,"Liquidado","Parcial"))</f>
        <v/>
      </c>
    </row>
    <row r="36">
      <c r="A36" s="17">
        <f>IF(TRABAJOS!B36="","",TRABAJOS!A36)</f>
        <v/>
      </c>
      <c r="B36" s="17">
        <f>IF(TRABAJOS!B36="","",TRABAJOS!B36)</f>
        <v/>
      </c>
      <c r="C36" s="17">
        <f>IF(TRABAJOS!B36="","",TRABAJOS!C36)</f>
        <v/>
      </c>
      <c r="D36" s="17">
        <f>IF(TRABAJOS!B36="","",TRABAJOS!E36)</f>
        <v/>
      </c>
      <c r="E36" s="18">
        <f>IF(TRABAJOS!B36="","",TRABAJOS!I36)</f>
        <v/>
      </c>
      <c r="F36" s="18">
        <f>IF(TRABAJOS!B36="","",TRABAJOS!K36)</f>
        <v/>
      </c>
      <c r="G36" s="18">
        <f>IF(TRABAJOS!B36="","",TRABAJOS!L36)</f>
        <v/>
      </c>
      <c r="H36" s="17">
        <f>IF(TRABAJOS!B36="","",IF(TRABAJOS!L36&lt;=0,"Liquidado","Parcial"))</f>
        <v/>
      </c>
    </row>
    <row r="37">
      <c r="A37" s="15">
        <f>IF(TRABAJOS!B37="","",TRABAJOS!A37)</f>
        <v/>
      </c>
      <c r="B37" s="15">
        <f>IF(TRABAJOS!B37="","",TRABAJOS!B37)</f>
        <v/>
      </c>
      <c r="C37" s="15">
        <f>IF(TRABAJOS!B37="","",TRABAJOS!C37)</f>
        <v/>
      </c>
      <c r="D37" s="15">
        <f>IF(TRABAJOS!B37="","",TRABAJOS!E37)</f>
        <v/>
      </c>
      <c r="E37" s="16">
        <f>IF(TRABAJOS!B37="","",TRABAJOS!I37)</f>
        <v/>
      </c>
      <c r="F37" s="16">
        <f>IF(TRABAJOS!B37="","",TRABAJOS!K37)</f>
        <v/>
      </c>
      <c r="G37" s="16">
        <f>IF(TRABAJOS!B37="","",TRABAJOS!L37)</f>
        <v/>
      </c>
      <c r="H37" s="15">
        <f>IF(TRABAJOS!B37="","",IF(TRABAJOS!L37&lt;=0,"Liquidado","Parcial"))</f>
        <v/>
      </c>
    </row>
    <row r="38">
      <c r="A38" s="17">
        <f>IF(TRABAJOS!B38="","",TRABAJOS!A38)</f>
        <v/>
      </c>
      <c r="B38" s="17">
        <f>IF(TRABAJOS!B38="","",TRABAJOS!B38)</f>
        <v/>
      </c>
      <c r="C38" s="17">
        <f>IF(TRABAJOS!B38="","",TRABAJOS!C38)</f>
        <v/>
      </c>
      <c r="D38" s="17">
        <f>IF(TRABAJOS!B38="","",TRABAJOS!E38)</f>
        <v/>
      </c>
      <c r="E38" s="18">
        <f>IF(TRABAJOS!B38="","",TRABAJOS!I38)</f>
        <v/>
      </c>
      <c r="F38" s="18">
        <f>IF(TRABAJOS!B38="","",TRABAJOS!K38)</f>
        <v/>
      </c>
      <c r="G38" s="18">
        <f>IF(TRABAJOS!B38="","",TRABAJOS!L38)</f>
        <v/>
      </c>
      <c r="H38" s="17">
        <f>IF(TRABAJOS!B38="","",IF(TRABAJOS!L38&lt;=0,"Liquidado","Parcial"))</f>
        <v/>
      </c>
    </row>
    <row r="39">
      <c r="A39" s="15">
        <f>IF(TRABAJOS!B39="","",TRABAJOS!A39)</f>
        <v/>
      </c>
      <c r="B39" s="15">
        <f>IF(TRABAJOS!B39="","",TRABAJOS!B39)</f>
        <v/>
      </c>
      <c r="C39" s="15">
        <f>IF(TRABAJOS!B39="","",TRABAJOS!C39)</f>
        <v/>
      </c>
      <c r="D39" s="15">
        <f>IF(TRABAJOS!B39="","",TRABAJOS!E39)</f>
        <v/>
      </c>
      <c r="E39" s="16">
        <f>IF(TRABAJOS!B39="","",TRABAJOS!I39)</f>
        <v/>
      </c>
      <c r="F39" s="16">
        <f>IF(TRABAJOS!B39="","",TRABAJOS!K39)</f>
        <v/>
      </c>
      <c r="G39" s="16">
        <f>IF(TRABAJOS!B39="","",TRABAJOS!L39)</f>
        <v/>
      </c>
      <c r="H39" s="15">
        <f>IF(TRABAJOS!B39="","",IF(TRABAJOS!L39&lt;=0,"Liquidado","Parcial"))</f>
        <v/>
      </c>
    </row>
    <row r="40">
      <c r="A40" s="17">
        <f>IF(TRABAJOS!B40="","",TRABAJOS!A40)</f>
        <v/>
      </c>
      <c r="B40" s="17">
        <f>IF(TRABAJOS!B40="","",TRABAJOS!B40)</f>
        <v/>
      </c>
      <c r="C40" s="17">
        <f>IF(TRABAJOS!B40="","",TRABAJOS!C40)</f>
        <v/>
      </c>
      <c r="D40" s="17">
        <f>IF(TRABAJOS!B40="","",TRABAJOS!E40)</f>
        <v/>
      </c>
      <c r="E40" s="18">
        <f>IF(TRABAJOS!B40="","",TRABAJOS!I40)</f>
        <v/>
      </c>
      <c r="F40" s="18">
        <f>IF(TRABAJOS!B40="","",TRABAJOS!K40)</f>
        <v/>
      </c>
      <c r="G40" s="18">
        <f>IF(TRABAJOS!B40="","",TRABAJOS!L40)</f>
        <v/>
      </c>
      <c r="H40" s="17">
        <f>IF(TRABAJOS!B40="","",IF(TRABAJOS!L40&lt;=0,"Liquidado","Parcial"))</f>
        <v/>
      </c>
    </row>
    <row r="41">
      <c r="A41" s="15">
        <f>IF(TRABAJOS!B41="","",TRABAJOS!A41)</f>
        <v/>
      </c>
      <c r="B41" s="15">
        <f>IF(TRABAJOS!B41="","",TRABAJOS!B41)</f>
        <v/>
      </c>
      <c r="C41" s="15">
        <f>IF(TRABAJOS!B41="","",TRABAJOS!C41)</f>
        <v/>
      </c>
      <c r="D41" s="15">
        <f>IF(TRABAJOS!B41="","",TRABAJOS!E41)</f>
        <v/>
      </c>
      <c r="E41" s="16">
        <f>IF(TRABAJOS!B41="","",TRABAJOS!I41)</f>
        <v/>
      </c>
      <c r="F41" s="16">
        <f>IF(TRABAJOS!B41="","",TRABAJOS!K41)</f>
        <v/>
      </c>
      <c r="G41" s="16">
        <f>IF(TRABAJOS!B41="","",TRABAJOS!L41)</f>
        <v/>
      </c>
      <c r="H41" s="15">
        <f>IF(TRABAJOS!B41="","",IF(TRABAJOS!L41&lt;=0,"Liquidado","Parcial"))</f>
        <v/>
      </c>
    </row>
    <row r="42">
      <c r="A42" s="17">
        <f>IF(TRABAJOS!B42="","",TRABAJOS!A42)</f>
        <v/>
      </c>
      <c r="B42" s="17">
        <f>IF(TRABAJOS!B42="","",TRABAJOS!B42)</f>
        <v/>
      </c>
      <c r="C42" s="17">
        <f>IF(TRABAJOS!B42="","",TRABAJOS!C42)</f>
        <v/>
      </c>
      <c r="D42" s="17">
        <f>IF(TRABAJOS!B42="","",TRABAJOS!E42)</f>
        <v/>
      </c>
      <c r="E42" s="18">
        <f>IF(TRABAJOS!B42="","",TRABAJOS!I42)</f>
        <v/>
      </c>
      <c r="F42" s="18">
        <f>IF(TRABAJOS!B42="","",TRABAJOS!K42)</f>
        <v/>
      </c>
      <c r="G42" s="18">
        <f>IF(TRABAJOS!B42="","",TRABAJOS!L42)</f>
        <v/>
      </c>
      <c r="H42" s="17">
        <f>IF(TRABAJOS!B42="","",IF(TRABAJOS!L42&lt;=0,"Liquidado","Parcial"))</f>
        <v/>
      </c>
    </row>
    <row r="43">
      <c r="A43" s="15">
        <f>IF(TRABAJOS!B43="","",TRABAJOS!A43)</f>
        <v/>
      </c>
      <c r="B43" s="15">
        <f>IF(TRABAJOS!B43="","",TRABAJOS!B43)</f>
        <v/>
      </c>
      <c r="C43" s="15">
        <f>IF(TRABAJOS!B43="","",TRABAJOS!C43)</f>
        <v/>
      </c>
      <c r="D43" s="15">
        <f>IF(TRABAJOS!B43="","",TRABAJOS!E43)</f>
        <v/>
      </c>
      <c r="E43" s="16">
        <f>IF(TRABAJOS!B43="","",TRABAJOS!I43)</f>
        <v/>
      </c>
      <c r="F43" s="16">
        <f>IF(TRABAJOS!B43="","",TRABAJOS!K43)</f>
        <v/>
      </c>
      <c r="G43" s="16">
        <f>IF(TRABAJOS!B43="","",TRABAJOS!L43)</f>
        <v/>
      </c>
      <c r="H43" s="15">
        <f>IF(TRABAJOS!B43="","",IF(TRABAJOS!L43&lt;=0,"Liquidado","Parcial"))</f>
        <v/>
      </c>
    </row>
    <row r="44">
      <c r="A44" s="17">
        <f>IF(TRABAJOS!B44="","",TRABAJOS!A44)</f>
        <v/>
      </c>
      <c r="B44" s="17">
        <f>IF(TRABAJOS!B44="","",TRABAJOS!B44)</f>
        <v/>
      </c>
      <c r="C44" s="17">
        <f>IF(TRABAJOS!B44="","",TRABAJOS!C44)</f>
        <v/>
      </c>
      <c r="D44" s="17">
        <f>IF(TRABAJOS!B44="","",TRABAJOS!E44)</f>
        <v/>
      </c>
      <c r="E44" s="18">
        <f>IF(TRABAJOS!B44="","",TRABAJOS!I44)</f>
        <v/>
      </c>
      <c r="F44" s="18">
        <f>IF(TRABAJOS!B44="","",TRABAJOS!K44)</f>
        <v/>
      </c>
      <c r="G44" s="18">
        <f>IF(TRABAJOS!B44="","",TRABAJOS!L44)</f>
        <v/>
      </c>
      <c r="H44" s="17">
        <f>IF(TRABAJOS!B44="","",IF(TRABAJOS!L44&lt;=0,"Liquidado","Parcial"))</f>
        <v/>
      </c>
    </row>
    <row r="45">
      <c r="A45" s="15">
        <f>IF(TRABAJOS!B45="","",TRABAJOS!A45)</f>
        <v/>
      </c>
      <c r="B45" s="15">
        <f>IF(TRABAJOS!B45="","",TRABAJOS!B45)</f>
        <v/>
      </c>
      <c r="C45" s="15">
        <f>IF(TRABAJOS!B45="","",TRABAJOS!C45)</f>
        <v/>
      </c>
      <c r="D45" s="15">
        <f>IF(TRABAJOS!B45="","",TRABAJOS!E45)</f>
        <v/>
      </c>
      <c r="E45" s="16">
        <f>IF(TRABAJOS!B45="","",TRABAJOS!I45)</f>
        <v/>
      </c>
      <c r="F45" s="16">
        <f>IF(TRABAJOS!B45="","",TRABAJOS!K45)</f>
        <v/>
      </c>
      <c r="G45" s="16">
        <f>IF(TRABAJOS!B45="","",TRABAJOS!L45)</f>
        <v/>
      </c>
      <c r="H45" s="15">
        <f>IF(TRABAJOS!B45="","",IF(TRABAJOS!L45&lt;=0,"Liquidado","Parcial"))</f>
        <v/>
      </c>
    </row>
    <row r="46">
      <c r="A46" s="17">
        <f>IF(TRABAJOS!B46="","",TRABAJOS!A46)</f>
        <v/>
      </c>
      <c r="B46" s="17">
        <f>IF(TRABAJOS!B46="","",TRABAJOS!B46)</f>
        <v/>
      </c>
      <c r="C46" s="17">
        <f>IF(TRABAJOS!B46="","",TRABAJOS!C46)</f>
        <v/>
      </c>
      <c r="D46" s="17">
        <f>IF(TRABAJOS!B46="","",TRABAJOS!E46)</f>
        <v/>
      </c>
      <c r="E46" s="18">
        <f>IF(TRABAJOS!B46="","",TRABAJOS!I46)</f>
        <v/>
      </c>
      <c r="F46" s="18">
        <f>IF(TRABAJOS!B46="","",TRABAJOS!K46)</f>
        <v/>
      </c>
      <c r="G46" s="18">
        <f>IF(TRABAJOS!B46="","",TRABAJOS!L46)</f>
        <v/>
      </c>
      <c r="H46" s="17">
        <f>IF(TRABAJOS!B46="","",IF(TRABAJOS!L46&lt;=0,"Liquidado","Parcial"))</f>
        <v/>
      </c>
    </row>
    <row r="47">
      <c r="A47" s="15">
        <f>IF(TRABAJOS!B47="","",TRABAJOS!A47)</f>
        <v/>
      </c>
      <c r="B47" s="15">
        <f>IF(TRABAJOS!B47="","",TRABAJOS!B47)</f>
        <v/>
      </c>
      <c r="C47" s="15">
        <f>IF(TRABAJOS!B47="","",TRABAJOS!C47)</f>
        <v/>
      </c>
      <c r="D47" s="15">
        <f>IF(TRABAJOS!B47="","",TRABAJOS!E47)</f>
        <v/>
      </c>
      <c r="E47" s="16">
        <f>IF(TRABAJOS!B47="","",TRABAJOS!I47)</f>
        <v/>
      </c>
      <c r="F47" s="16">
        <f>IF(TRABAJOS!B47="","",TRABAJOS!K47)</f>
        <v/>
      </c>
      <c r="G47" s="16">
        <f>IF(TRABAJOS!B47="","",TRABAJOS!L47)</f>
        <v/>
      </c>
      <c r="H47" s="15">
        <f>IF(TRABAJOS!B47="","",IF(TRABAJOS!L47&lt;=0,"Liquidado","Parcial"))</f>
        <v/>
      </c>
    </row>
    <row r="48">
      <c r="A48" s="17">
        <f>IF(TRABAJOS!B48="","",TRABAJOS!A48)</f>
        <v/>
      </c>
      <c r="B48" s="17">
        <f>IF(TRABAJOS!B48="","",TRABAJOS!B48)</f>
        <v/>
      </c>
      <c r="C48" s="17">
        <f>IF(TRABAJOS!B48="","",TRABAJOS!C48)</f>
        <v/>
      </c>
      <c r="D48" s="17">
        <f>IF(TRABAJOS!B48="","",TRABAJOS!E48)</f>
        <v/>
      </c>
      <c r="E48" s="18">
        <f>IF(TRABAJOS!B48="","",TRABAJOS!I48)</f>
        <v/>
      </c>
      <c r="F48" s="18">
        <f>IF(TRABAJOS!B48="","",TRABAJOS!K48)</f>
        <v/>
      </c>
      <c r="G48" s="18">
        <f>IF(TRABAJOS!B48="","",TRABAJOS!L48)</f>
        <v/>
      </c>
      <c r="H48" s="17">
        <f>IF(TRABAJOS!B48="","",IF(TRABAJOS!L48&lt;=0,"Liquidado","Parcial"))</f>
        <v/>
      </c>
    </row>
    <row r="49">
      <c r="A49" s="15">
        <f>IF(TRABAJOS!B49="","",TRABAJOS!A49)</f>
        <v/>
      </c>
      <c r="B49" s="15">
        <f>IF(TRABAJOS!B49="","",TRABAJOS!B49)</f>
        <v/>
      </c>
      <c r="C49" s="15">
        <f>IF(TRABAJOS!B49="","",TRABAJOS!C49)</f>
        <v/>
      </c>
      <c r="D49" s="15">
        <f>IF(TRABAJOS!B49="","",TRABAJOS!E49)</f>
        <v/>
      </c>
      <c r="E49" s="16">
        <f>IF(TRABAJOS!B49="","",TRABAJOS!I49)</f>
        <v/>
      </c>
      <c r="F49" s="16">
        <f>IF(TRABAJOS!B49="","",TRABAJOS!K49)</f>
        <v/>
      </c>
      <c r="G49" s="16">
        <f>IF(TRABAJOS!B49="","",TRABAJOS!L49)</f>
        <v/>
      </c>
      <c r="H49" s="15">
        <f>IF(TRABAJOS!B49="","",IF(TRABAJOS!L49&lt;=0,"Liquidado","Parcial"))</f>
        <v/>
      </c>
    </row>
    <row r="50">
      <c r="A50" s="17">
        <f>IF(TRABAJOS!B50="","",TRABAJOS!A50)</f>
        <v/>
      </c>
      <c r="B50" s="17">
        <f>IF(TRABAJOS!B50="","",TRABAJOS!B50)</f>
        <v/>
      </c>
      <c r="C50" s="17">
        <f>IF(TRABAJOS!B50="","",TRABAJOS!C50)</f>
        <v/>
      </c>
      <c r="D50" s="17">
        <f>IF(TRABAJOS!B50="","",TRABAJOS!E50)</f>
        <v/>
      </c>
      <c r="E50" s="18">
        <f>IF(TRABAJOS!B50="","",TRABAJOS!I50)</f>
        <v/>
      </c>
      <c r="F50" s="18">
        <f>IF(TRABAJOS!B50="","",TRABAJOS!K50)</f>
        <v/>
      </c>
      <c r="G50" s="18">
        <f>IF(TRABAJOS!B50="","",TRABAJOS!L50)</f>
        <v/>
      </c>
      <c r="H50" s="17">
        <f>IF(TRABAJOS!B50="","",IF(TRABAJOS!L50&lt;=0,"Liquidado","Parcial"))</f>
        <v/>
      </c>
    </row>
    <row r="51">
      <c r="A51" s="15">
        <f>IF(TRABAJOS!B51="","",TRABAJOS!A51)</f>
        <v/>
      </c>
      <c r="B51" s="15">
        <f>IF(TRABAJOS!B51="","",TRABAJOS!B51)</f>
        <v/>
      </c>
      <c r="C51" s="15">
        <f>IF(TRABAJOS!B51="","",TRABAJOS!C51)</f>
        <v/>
      </c>
      <c r="D51" s="15">
        <f>IF(TRABAJOS!B51="","",TRABAJOS!E51)</f>
        <v/>
      </c>
      <c r="E51" s="16">
        <f>IF(TRABAJOS!B51="","",TRABAJOS!I51)</f>
        <v/>
      </c>
      <c r="F51" s="16">
        <f>IF(TRABAJOS!B51="","",TRABAJOS!K51)</f>
        <v/>
      </c>
      <c r="G51" s="16">
        <f>IF(TRABAJOS!B51="","",TRABAJOS!L51)</f>
        <v/>
      </c>
      <c r="H51" s="15">
        <f>IF(TRABAJOS!B51="","",IF(TRABAJOS!L51&lt;=0,"Liquidado","Parcial"))</f>
        <v/>
      </c>
    </row>
    <row r="52">
      <c r="A52" s="17">
        <f>IF(TRABAJOS!B52="","",TRABAJOS!A52)</f>
        <v/>
      </c>
      <c r="B52" s="17">
        <f>IF(TRABAJOS!B52="","",TRABAJOS!B52)</f>
        <v/>
      </c>
      <c r="C52" s="17">
        <f>IF(TRABAJOS!B52="","",TRABAJOS!C52)</f>
        <v/>
      </c>
      <c r="D52" s="17">
        <f>IF(TRABAJOS!B52="","",TRABAJOS!E52)</f>
        <v/>
      </c>
      <c r="E52" s="18">
        <f>IF(TRABAJOS!B52="","",TRABAJOS!I52)</f>
        <v/>
      </c>
      <c r="F52" s="18">
        <f>IF(TRABAJOS!B52="","",TRABAJOS!K52)</f>
        <v/>
      </c>
      <c r="G52" s="18">
        <f>IF(TRABAJOS!B52="","",TRABAJOS!L52)</f>
        <v/>
      </c>
      <c r="H52" s="17">
        <f>IF(TRABAJOS!B52="","",IF(TRABAJOS!L52&lt;=0,"Liquidado","Parcial"))</f>
        <v/>
      </c>
    </row>
    <row r="53">
      <c r="A53" s="15">
        <f>IF(TRABAJOS!B53="","",TRABAJOS!A53)</f>
        <v/>
      </c>
      <c r="B53" s="15">
        <f>IF(TRABAJOS!B53="","",TRABAJOS!B53)</f>
        <v/>
      </c>
      <c r="C53" s="15">
        <f>IF(TRABAJOS!B53="","",TRABAJOS!C53)</f>
        <v/>
      </c>
      <c r="D53" s="15">
        <f>IF(TRABAJOS!B53="","",TRABAJOS!E53)</f>
        <v/>
      </c>
      <c r="E53" s="16">
        <f>IF(TRABAJOS!B53="","",TRABAJOS!I53)</f>
        <v/>
      </c>
      <c r="F53" s="16">
        <f>IF(TRABAJOS!B53="","",TRABAJOS!K53)</f>
        <v/>
      </c>
      <c r="G53" s="16">
        <f>IF(TRABAJOS!B53="","",TRABAJOS!L53)</f>
        <v/>
      </c>
      <c r="H53" s="15">
        <f>IF(TRABAJOS!B53="","",IF(TRABAJOS!L53&lt;=0,"Liquidado","Parcial"))</f>
        <v/>
      </c>
    </row>
    <row r="54">
      <c r="A54" s="17">
        <f>IF(TRABAJOS!B54="","",TRABAJOS!A54)</f>
        <v/>
      </c>
      <c r="B54" s="17">
        <f>IF(TRABAJOS!B54="","",TRABAJOS!B54)</f>
        <v/>
      </c>
      <c r="C54" s="17">
        <f>IF(TRABAJOS!B54="","",TRABAJOS!C54)</f>
        <v/>
      </c>
      <c r="D54" s="17">
        <f>IF(TRABAJOS!B54="","",TRABAJOS!E54)</f>
        <v/>
      </c>
      <c r="E54" s="18">
        <f>IF(TRABAJOS!B54="","",TRABAJOS!I54)</f>
        <v/>
      </c>
      <c r="F54" s="18">
        <f>IF(TRABAJOS!B54="","",TRABAJOS!K54)</f>
        <v/>
      </c>
      <c r="G54" s="18">
        <f>IF(TRABAJOS!B54="","",TRABAJOS!L54)</f>
        <v/>
      </c>
      <c r="H54" s="17">
        <f>IF(TRABAJOS!B54="","",IF(TRABAJOS!L54&lt;=0,"Liquidado","Parcial"))</f>
        <v/>
      </c>
    </row>
    <row r="55">
      <c r="A55" s="15">
        <f>IF(TRABAJOS!B55="","",TRABAJOS!A55)</f>
        <v/>
      </c>
      <c r="B55" s="15">
        <f>IF(TRABAJOS!B55="","",TRABAJOS!B55)</f>
        <v/>
      </c>
      <c r="C55" s="15">
        <f>IF(TRABAJOS!B55="","",TRABAJOS!C55)</f>
        <v/>
      </c>
      <c r="D55" s="15">
        <f>IF(TRABAJOS!B55="","",TRABAJOS!E55)</f>
        <v/>
      </c>
      <c r="E55" s="16">
        <f>IF(TRABAJOS!B55="","",TRABAJOS!I55)</f>
        <v/>
      </c>
      <c r="F55" s="16">
        <f>IF(TRABAJOS!B55="","",TRABAJOS!K55)</f>
        <v/>
      </c>
      <c r="G55" s="16">
        <f>IF(TRABAJOS!B55="","",TRABAJOS!L55)</f>
        <v/>
      </c>
      <c r="H55" s="15">
        <f>IF(TRABAJOS!B55="","",IF(TRABAJOS!L55&lt;=0,"Liquidado","Parcial"))</f>
        <v/>
      </c>
    </row>
    <row r="56">
      <c r="A56" s="17">
        <f>IF(TRABAJOS!B56="","",TRABAJOS!A56)</f>
        <v/>
      </c>
      <c r="B56" s="17">
        <f>IF(TRABAJOS!B56="","",TRABAJOS!B56)</f>
        <v/>
      </c>
      <c r="C56" s="17">
        <f>IF(TRABAJOS!B56="","",TRABAJOS!C56)</f>
        <v/>
      </c>
      <c r="D56" s="17">
        <f>IF(TRABAJOS!B56="","",TRABAJOS!E56)</f>
        <v/>
      </c>
      <c r="E56" s="18">
        <f>IF(TRABAJOS!B56="","",TRABAJOS!I56)</f>
        <v/>
      </c>
      <c r="F56" s="18">
        <f>IF(TRABAJOS!B56="","",TRABAJOS!K56)</f>
        <v/>
      </c>
      <c r="G56" s="18">
        <f>IF(TRABAJOS!B56="","",TRABAJOS!L56)</f>
        <v/>
      </c>
      <c r="H56" s="17">
        <f>IF(TRABAJOS!B56="","",IF(TRABAJOS!L56&lt;=0,"Liquidado","Parcial"))</f>
        <v/>
      </c>
    </row>
    <row r="57">
      <c r="A57" s="15">
        <f>IF(TRABAJOS!B57="","",TRABAJOS!A57)</f>
        <v/>
      </c>
      <c r="B57" s="15">
        <f>IF(TRABAJOS!B57="","",TRABAJOS!B57)</f>
        <v/>
      </c>
      <c r="C57" s="15">
        <f>IF(TRABAJOS!B57="","",TRABAJOS!C57)</f>
        <v/>
      </c>
      <c r="D57" s="15">
        <f>IF(TRABAJOS!B57="","",TRABAJOS!E57)</f>
        <v/>
      </c>
      <c r="E57" s="16">
        <f>IF(TRABAJOS!B57="","",TRABAJOS!I57)</f>
        <v/>
      </c>
      <c r="F57" s="16">
        <f>IF(TRABAJOS!B57="","",TRABAJOS!K57)</f>
        <v/>
      </c>
      <c r="G57" s="16">
        <f>IF(TRABAJOS!B57="","",TRABAJOS!L57)</f>
        <v/>
      </c>
      <c r="H57" s="15">
        <f>IF(TRABAJOS!B57="","",IF(TRABAJOS!L57&lt;=0,"Liquidado","Parcial"))</f>
        <v/>
      </c>
    </row>
    <row r="58">
      <c r="A58" s="17">
        <f>IF(TRABAJOS!B58="","",TRABAJOS!A58)</f>
        <v/>
      </c>
      <c r="B58" s="17">
        <f>IF(TRABAJOS!B58="","",TRABAJOS!B58)</f>
        <v/>
      </c>
      <c r="C58" s="17">
        <f>IF(TRABAJOS!B58="","",TRABAJOS!C58)</f>
        <v/>
      </c>
      <c r="D58" s="17">
        <f>IF(TRABAJOS!B58="","",TRABAJOS!E58)</f>
        <v/>
      </c>
      <c r="E58" s="18">
        <f>IF(TRABAJOS!B58="","",TRABAJOS!I58)</f>
        <v/>
      </c>
      <c r="F58" s="18">
        <f>IF(TRABAJOS!B58="","",TRABAJOS!K58)</f>
        <v/>
      </c>
      <c r="G58" s="18">
        <f>IF(TRABAJOS!B58="","",TRABAJOS!L58)</f>
        <v/>
      </c>
      <c r="H58" s="17">
        <f>IF(TRABAJOS!B58="","",IF(TRABAJOS!L58&lt;=0,"Liquidado","Parcial"))</f>
        <v/>
      </c>
    </row>
    <row r="59">
      <c r="A59" s="15">
        <f>IF(TRABAJOS!B59="","",TRABAJOS!A59)</f>
        <v/>
      </c>
      <c r="B59" s="15">
        <f>IF(TRABAJOS!B59="","",TRABAJOS!B59)</f>
        <v/>
      </c>
      <c r="C59" s="15">
        <f>IF(TRABAJOS!B59="","",TRABAJOS!C59)</f>
        <v/>
      </c>
      <c r="D59" s="15">
        <f>IF(TRABAJOS!B59="","",TRABAJOS!E59)</f>
        <v/>
      </c>
      <c r="E59" s="16">
        <f>IF(TRABAJOS!B59="","",TRABAJOS!I59)</f>
        <v/>
      </c>
      <c r="F59" s="16">
        <f>IF(TRABAJOS!B59="","",TRABAJOS!K59)</f>
        <v/>
      </c>
      <c r="G59" s="16">
        <f>IF(TRABAJOS!B59="","",TRABAJOS!L59)</f>
        <v/>
      </c>
      <c r="H59" s="15">
        <f>IF(TRABAJOS!B59="","",IF(TRABAJOS!L59&lt;=0,"Liquidado","Parcial"))</f>
        <v/>
      </c>
    </row>
    <row r="60">
      <c r="A60" s="17">
        <f>IF(TRABAJOS!B60="","",TRABAJOS!A60)</f>
        <v/>
      </c>
      <c r="B60" s="17">
        <f>IF(TRABAJOS!B60="","",TRABAJOS!B60)</f>
        <v/>
      </c>
      <c r="C60" s="17">
        <f>IF(TRABAJOS!B60="","",TRABAJOS!C60)</f>
        <v/>
      </c>
      <c r="D60" s="17">
        <f>IF(TRABAJOS!B60="","",TRABAJOS!E60)</f>
        <v/>
      </c>
      <c r="E60" s="18">
        <f>IF(TRABAJOS!B60="","",TRABAJOS!I60)</f>
        <v/>
      </c>
      <c r="F60" s="18">
        <f>IF(TRABAJOS!B60="","",TRABAJOS!K60)</f>
        <v/>
      </c>
      <c r="G60" s="18">
        <f>IF(TRABAJOS!B60="","",TRABAJOS!L60)</f>
        <v/>
      </c>
      <c r="H60" s="17">
        <f>IF(TRABAJOS!B60="","",IF(TRABAJOS!L60&lt;=0,"Liquidado","Parcial"))</f>
        <v/>
      </c>
    </row>
    <row r="61">
      <c r="A61" s="15">
        <f>IF(TRABAJOS!B61="","",TRABAJOS!A61)</f>
        <v/>
      </c>
      <c r="B61" s="15">
        <f>IF(TRABAJOS!B61="","",TRABAJOS!B61)</f>
        <v/>
      </c>
      <c r="C61" s="15">
        <f>IF(TRABAJOS!B61="","",TRABAJOS!C61)</f>
        <v/>
      </c>
      <c r="D61" s="15">
        <f>IF(TRABAJOS!B61="","",TRABAJOS!E61)</f>
        <v/>
      </c>
      <c r="E61" s="16">
        <f>IF(TRABAJOS!B61="","",TRABAJOS!I61)</f>
        <v/>
      </c>
      <c r="F61" s="16">
        <f>IF(TRABAJOS!B61="","",TRABAJOS!K61)</f>
        <v/>
      </c>
      <c r="G61" s="16">
        <f>IF(TRABAJOS!B61="","",TRABAJOS!L61)</f>
        <v/>
      </c>
      <c r="H61" s="15">
        <f>IF(TRABAJOS!B61="","",IF(TRABAJOS!L61&lt;=0,"Liquidado","Parcial"))</f>
        <v/>
      </c>
    </row>
    <row r="62">
      <c r="A62" s="17">
        <f>IF(TRABAJOS!B62="","",TRABAJOS!A62)</f>
        <v/>
      </c>
      <c r="B62" s="17">
        <f>IF(TRABAJOS!B62="","",TRABAJOS!B62)</f>
        <v/>
      </c>
      <c r="C62" s="17">
        <f>IF(TRABAJOS!B62="","",TRABAJOS!C62)</f>
        <v/>
      </c>
      <c r="D62" s="17">
        <f>IF(TRABAJOS!B62="","",TRABAJOS!E62)</f>
        <v/>
      </c>
      <c r="E62" s="18">
        <f>IF(TRABAJOS!B62="","",TRABAJOS!I62)</f>
        <v/>
      </c>
      <c r="F62" s="18">
        <f>IF(TRABAJOS!B62="","",TRABAJOS!K62)</f>
        <v/>
      </c>
      <c r="G62" s="18">
        <f>IF(TRABAJOS!B62="","",TRABAJOS!L62)</f>
        <v/>
      </c>
      <c r="H62" s="17">
        <f>IF(TRABAJOS!B62="","",IF(TRABAJOS!L62&lt;=0,"Liquidado","Parcial"))</f>
        <v/>
      </c>
    </row>
    <row r="63">
      <c r="A63" s="15">
        <f>IF(TRABAJOS!B63="","",TRABAJOS!A63)</f>
        <v/>
      </c>
      <c r="B63" s="15">
        <f>IF(TRABAJOS!B63="","",TRABAJOS!B63)</f>
        <v/>
      </c>
      <c r="C63" s="15">
        <f>IF(TRABAJOS!B63="","",TRABAJOS!C63)</f>
        <v/>
      </c>
      <c r="D63" s="15">
        <f>IF(TRABAJOS!B63="","",TRABAJOS!E63)</f>
        <v/>
      </c>
      <c r="E63" s="16">
        <f>IF(TRABAJOS!B63="","",TRABAJOS!I63)</f>
        <v/>
      </c>
      <c r="F63" s="16">
        <f>IF(TRABAJOS!B63="","",TRABAJOS!K63)</f>
        <v/>
      </c>
      <c r="G63" s="16">
        <f>IF(TRABAJOS!B63="","",TRABAJOS!L63)</f>
        <v/>
      </c>
      <c r="H63" s="15">
        <f>IF(TRABAJOS!B63="","",IF(TRABAJOS!L63&lt;=0,"Liquidado","Parcial"))</f>
        <v/>
      </c>
    </row>
    <row r="64">
      <c r="A64" s="17">
        <f>IF(TRABAJOS!B64="","",TRABAJOS!A64)</f>
        <v/>
      </c>
      <c r="B64" s="17">
        <f>IF(TRABAJOS!B64="","",TRABAJOS!B64)</f>
        <v/>
      </c>
      <c r="C64" s="17">
        <f>IF(TRABAJOS!B64="","",TRABAJOS!C64)</f>
        <v/>
      </c>
      <c r="D64" s="17">
        <f>IF(TRABAJOS!B64="","",TRABAJOS!E64)</f>
        <v/>
      </c>
      <c r="E64" s="18">
        <f>IF(TRABAJOS!B64="","",TRABAJOS!I64)</f>
        <v/>
      </c>
      <c r="F64" s="18">
        <f>IF(TRABAJOS!B64="","",TRABAJOS!K64)</f>
        <v/>
      </c>
      <c r="G64" s="18">
        <f>IF(TRABAJOS!B64="","",TRABAJOS!L64)</f>
        <v/>
      </c>
      <c r="H64" s="17">
        <f>IF(TRABAJOS!B64="","",IF(TRABAJOS!L64&lt;=0,"Liquidado","Parcial"))</f>
        <v/>
      </c>
    </row>
    <row r="65">
      <c r="A65" s="15">
        <f>IF(TRABAJOS!B65="","",TRABAJOS!A65)</f>
        <v/>
      </c>
      <c r="B65" s="15">
        <f>IF(TRABAJOS!B65="","",TRABAJOS!B65)</f>
        <v/>
      </c>
      <c r="C65" s="15">
        <f>IF(TRABAJOS!B65="","",TRABAJOS!C65)</f>
        <v/>
      </c>
      <c r="D65" s="15">
        <f>IF(TRABAJOS!B65="","",TRABAJOS!E65)</f>
        <v/>
      </c>
      <c r="E65" s="16">
        <f>IF(TRABAJOS!B65="","",TRABAJOS!I65)</f>
        <v/>
      </c>
      <c r="F65" s="16">
        <f>IF(TRABAJOS!B65="","",TRABAJOS!K65)</f>
        <v/>
      </c>
      <c r="G65" s="16">
        <f>IF(TRABAJOS!B65="","",TRABAJOS!L65)</f>
        <v/>
      </c>
      <c r="H65" s="15">
        <f>IF(TRABAJOS!B65="","",IF(TRABAJOS!L65&lt;=0,"Liquidado","Parcial"))</f>
        <v/>
      </c>
    </row>
    <row r="66">
      <c r="A66" s="17">
        <f>IF(TRABAJOS!B66="","",TRABAJOS!A66)</f>
        <v/>
      </c>
      <c r="B66" s="17">
        <f>IF(TRABAJOS!B66="","",TRABAJOS!B66)</f>
        <v/>
      </c>
      <c r="C66" s="17">
        <f>IF(TRABAJOS!B66="","",TRABAJOS!C66)</f>
        <v/>
      </c>
      <c r="D66" s="17">
        <f>IF(TRABAJOS!B66="","",TRABAJOS!E66)</f>
        <v/>
      </c>
      <c r="E66" s="18">
        <f>IF(TRABAJOS!B66="","",TRABAJOS!I66)</f>
        <v/>
      </c>
      <c r="F66" s="18">
        <f>IF(TRABAJOS!B66="","",TRABAJOS!K66)</f>
        <v/>
      </c>
      <c r="G66" s="18">
        <f>IF(TRABAJOS!B66="","",TRABAJOS!L66)</f>
        <v/>
      </c>
      <c r="H66" s="17">
        <f>IF(TRABAJOS!B66="","",IF(TRABAJOS!L66&lt;=0,"Liquidado","Parcial"))</f>
        <v/>
      </c>
    </row>
    <row r="67">
      <c r="A67" s="15">
        <f>IF(TRABAJOS!B67="","",TRABAJOS!A67)</f>
        <v/>
      </c>
      <c r="B67" s="15">
        <f>IF(TRABAJOS!B67="","",TRABAJOS!B67)</f>
        <v/>
      </c>
      <c r="C67" s="15">
        <f>IF(TRABAJOS!B67="","",TRABAJOS!C67)</f>
        <v/>
      </c>
      <c r="D67" s="15">
        <f>IF(TRABAJOS!B67="","",TRABAJOS!E67)</f>
        <v/>
      </c>
      <c r="E67" s="16">
        <f>IF(TRABAJOS!B67="","",TRABAJOS!I67)</f>
        <v/>
      </c>
      <c r="F67" s="16">
        <f>IF(TRABAJOS!B67="","",TRABAJOS!K67)</f>
        <v/>
      </c>
      <c r="G67" s="16">
        <f>IF(TRABAJOS!B67="","",TRABAJOS!L67)</f>
        <v/>
      </c>
      <c r="H67" s="15">
        <f>IF(TRABAJOS!B67="","",IF(TRABAJOS!L67&lt;=0,"Liquidado","Parcial"))</f>
        <v/>
      </c>
    </row>
    <row r="68">
      <c r="A68" s="17">
        <f>IF(TRABAJOS!B68="","",TRABAJOS!A68)</f>
        <v/>
      </c>
      <c r="B68" s="17">
        <f>IF(TRABAJOS!B68="","",TRABAJOS!B68)</f>
        <v/>
      </c>
      <c r="C68" s="17">
        <f>IF(TRABAJOS!B68="","",TRABAJOS!C68)</f>
        <v/>
      </c>
      <c r="D68" s="17">
        <f>IF(TRABAJOS!B68="","",TRABAJOS!E68)</f>
        <v/>
      </c>
      <c r="E68" s="18">
        <f>IF(TRABAJOS!B68="","",TRABAJOS!I68)</f>
        <v/>
      </c>
      <c r="F68" s="18">
        <f>IF(TRABAJOS!B68="","",TRABAJOS!K68)</f>
        <v/>
      </c>
      <c r="G68" s="18">
        <f>IF(TRABAJOS!B68="","",TRABAJOS!L68)</f>
        <v/>
      </c>
      <c r="H68" s="17">
        <f>IF(TRABAJOS!B68="","",IF(TRABAJOS!L68&lt;=0,"Liquidado","Parcial"))</f>
        <v/>
      </c>
    </row>
    <row r="69">
      <c r="A69" s="15">
        <f>IF(TRABAJOS!B69="","",TRABAJOS!A69)</f>
        <v/>
      </c>
      <c r="B69" s="15">
        <f>IF(TRABAJOS!B69="","",TRABAJOS!B69)</f>
        <v/>
      </c>
      <c r="C69" s="15">
        <f>IF(TRABAJOS!B69="","",TRABAJOS!C69)</f>
        <v/>
      </c>
      <c r="D69" s="15">
        <f>IF(TRABAJOS!B69="","",TRABAJOS!E69)</f>
        <v/>
      </c>
      <c r="E69" s="16">
        <f>IF(TRABAJOS!B69="","",TRABAJOS!I69)</f>
        <v/>
      </c>
      <c r="F69" s="16">
        <f>IF(TRABAJOS!B69="","",TRABAJOS!K69)</f>
        <v/>
      </c>
      <c r="G69" s="16">
        <f>IF(TRABAJOS!B69="","",TRABAJOS!L69)</f>
        <v/>
      </c>
      <c r="H69" s="15">
        <f>IF(TRABAJOS!B69="","",IF(TRABAJOS!L69&lt;=0,"Liquidado","Parcial"))</f>
        <v/>
      </c>
    </row>
    <row r="70">
      <c r="A70" s="17">
        <f>IF(TRABAJOS!B70="","",TRABAJOS!A70)</f>
        <v/>
      </c>
      <c r="B70" s="17">
        <f>IF(TRABAJOS!B70="","",TRABAJOS!B70)</f>
        <v/>
      </c>
      <c r="C70" s="17">
        <f>IF(TRABAJOS!B70="","",TRABAJOS!C70)</f>
        <v/>
      </c>
      <c r="D70" s="17">
        <f>IF(TRABAJOS!B70="","",TRABAJOS!E70)</f>
        <v/>
      </c>
      <c r="E70" s="18">
        <f>IF(TRABAJOS!B70="","",TRABAJOS!I70)</f>
        <v/>
      </c>
      <c r="F70" s="18">
        <f>IF(TRABAJOS!B70="","",TRABAJOS!K70)</f>
        <v/>
      </c>
      <c r="G70" s="18">
        <f>IF(TRABAJOS!B70="","",TRABAJOS!L70)</f>
        <v/>
      </c>
      <c r="H70" s="17">
        <f>IF(TRABAJOS!B70="","",IF(TRABAJOS!L70&lt;=0,"Liquidado","Parcial"))</f>
        <v/>
      </c>
    </row>
    <row r="71">
      <c r="A71" s="15">
        <f>IF(TRABAJOS!B71="","",TRABAJOS!A71)</f>
        <v/>
      </c>
      <c r="B71" s="15">
        <f>IF(TRABAJOS!B71="","",TRABAJOS!B71)</f>
        <v/>
      </c>
      <c r="C71" s="15">
        <f>IF(TRABAJOS!B71="","",TRABAJOS!C71)</f>
        <v/>
      </c>
      <c r="D71" s="15">
        <f>IF(TRABAJOS!B71="","",TRABAJOS!E71)</f>
        <v/>
      </c>
      <c r="E71" s="16">
        <f>IF(TRABAJOS!B71="","",TRABAJOS!I71)</f>
        <v/>
      </c>
      <c r="F71" s="16">
        <f>IF(TRABAJOS!B71="","",TRABAJOS!K71)</f>
        <v/>
      </c>
      <c r="G71" s="16">
        <f>IF(TRABAJOS!B71="","",TRABAJOS!L71)</f>
        <v/>
      </c>
      <c r="H71" s="15">
        <f>IF(TRABAJOS!B71="","",IF(TRABAJOS!L71&lt;=0,"Liquidado","Parcial"))</f>
        <v/>
      </c>
    </row>
    <row r="72">
      <c r="A72" s="17">
        <f>IF(TRABAJOS!B72="","",TRABAJOS!A72)</f>
        <v/>
      </c>
      <c r="B72" s="17">
        <f>IF(TRABAJOS!B72="","",TRABAJOS!B72)</f>
        <v/>
      </c>
      <c r="C72" s="17">
        <f>IF(TRABAJOS!B72="","",TRABAJOS!C72)</f>
        <v/>
      </c>
      <c r="D72" s="17">
        <f>IF(TRABAJOS!B72="","",TRABAJOS!E72)</f>
        <v/>
      </c>
      <c r="E72" s="18">
        <f>IF(TRABAJOS!B72="","",TRABAJOS!I72)</f>
        <v/>
      </c>
      <c r="F72" s="18">
        <f>IF(TRABAJOS!B72="","",TRABAJOS!K72)</f>
        <v/>
      </c>
      <c r="G72" s="18">
        <f>IF(TRABAJOS!B72="","",TRABAJOS!L72)</f>
        <v/>
      </c>
      <c r="H72" s="17">
        <f>IF(TRABAJOS!B72="","",IF(TRABAJOS!L72&lt;=0,"Liquidado","Parcial"))</f>
        <v/>
      </c>
    </row>
    <row r="73">
      <c r="A73" s="15">
        <f>IF(TRABAJOS!B73="","",TRABAJOS!A73)</f>
        <v/>
      </c>
      <c r="B73" s="15">
        <f>IF(TRABAJOS!B73="","",TRABAJOS!B73)</f>
        <v/>
      </c>
      <c r="C73" s="15">
        <f>IF(TRABAJOS!B73="","",TRABAJOS!C73)</f>
        <v/>
      </c>
      <c r="D73" s="15">
        <f>IF(TRABAJOS!B73="","",TRABAJOS!E73)</f>
        <v/>
      </c>
      <c r="E73" s="16">
        <f>IF(TRABAJOS!B73="","",TRABAJOS!I73)</f>
        <v/>
      </c>
      <c r="F73" s="16">
        <f>IF(TRABAJOS!B73="","",TRABAJOS!K73)</f>
        <v/>
      </c>
      <c r="G73" s="16">
        <f>IF(TRABAJOS!B73="","",TRABAJOS!L73)</f>
        <v/>
      </c>
      <c r="H73" s="15">
        <f>IF(TRABAJOS!B73="","",IF(TRABAJOS!L73&lt;=0,"Liquidado","Parcial"))</f>
        <v/>
      </c>
    </row>
    <row r="74">
      <c r="A74" s="17">
        <f>IF(TRABAJOS!B74="","",TRABAJOS!A74)</f>
        <v/>
      </c>
      <c r="B74" s="17">
        <f>IF(TRABAJOS!B74="","",TRABAJOS!B74)</f>
        <v/>
      </c>
      <c r="C74" s="17">
        <f>IF(TRABAJOS!B74="","",TRABAJOS!C74)</f>
        <v/>
      </c>
      <c r="D74" s="17">
        <f>IF(TRABAJOS!B74="","",TRABAJOS!E74)</f>
        <v/>
      </c>
      <c r="E74" s="18">
        <f>IF(TRABAJOS!B74="","",TRABAJOS!I74)</f>
        <v/>
      </c>
      <c r="F74" s="18">
        <f>IF(TRABAJOS!B74="","",TRABAJOS!K74)</f>
        <v/>
      </c>
      <c r="G74" s="18">
        <f>IF(TRABAJOS!B74="","",TRABAJOS!L74)</f>
        <v/>
      </c>
      <c r="H74" s="17">
        <f>IF(TRABAJOS!B74="","",IF(TRABAJOS!L74&lt;=0,"Liquidado","Parcial"))</f>
        <v/>
      </c>
    </row>
    <row r="75">
      <c r="A75" s="15">
        <f>IF(TRABAJOS!B75="","",TRABAJOS!A75)</f>
        <v/>
      </c>
      <c r="B75" s="15">
        <f>IF(TRABAJOS!B75="","",TRABAJOS!B75)</f>
        <v/>
      </c>
      <c r="C75" s="15">
        <f>IF(TRABAJOS!B75="","",TRABAJOS!C75)</f>
        <v/>
      </c>
      <c r="D75" s="15">
        <f>IF(TRABAJOS!B75="","",TRABAJOS!E75)</f>
        <v/>
      </c>
      <c r="E75" s="16">
        <f>IF(TRABAJOS!B75="","",TRABAJOS!I75)</f>
        <v/>
      </c>
      <c r="F75" s="16">
        <f>IF(TRABAJOS!B75="","",TRABAJOS!K75)</f>
        <v/>
      </c>
      <c r="G75" s="16">
        <f>IF(TRABAJOS!B75="","",TRABAJOS!L75)</f>
        <v/>
      </c>
      <c r="H75" s="15">
        <f>IF(TRABAJOS!B75="","",IF(TRABAJOS!L75&lt;=0,"Liquidado","Parcial"))</f>
        <v/>
      </c>
    </row>
    <row r="76">
      <c r="A76" s="17">
        <f>IF(TRABAJOS!B76="","",TRABAJOS!A76)</f>
        <v/>
      </c>
      <c r="B76" s="17">
        <f>IF(TRABAJOS!B76="","",TRABAJOS!B76)</f>
        <v/>
      </c>
      <c r="C76" s="17">
        <f>IF(TRABAJOS!B76="","",TRABAJOS!C76)</f>
        <v/>
      </c>
      <c r="D76" s="17">
        <f>IF(TRABAJOS!B76="","",TRABAJOS!E76)</f>
        <v/>
      </c>
      <c r="E76" s="18">
        <f>IF(TRABAJOS!B76="","",TRABAJOS!I76)</f>
        <v/>
      </c>
      <c r="F76" s="18">
        <f>IF(TRABAJOS!B76="","",TRABAJOS!K76)</f>
        <v/>
      </c>
      <c r="G76" s="18">
        <f>IF(TRABAJOS!B76="","",TRABAJOS!L76)</f>
        <v/>
      </c>
      <c r="H76" s="17">
        <f>IF(TRABAJOS!B76="","",IF(TRABAJOS!L76&lt;=0,"Liquidado","Parcial"))</f>
        <v/>
      </c>
    </row>
    <row r="77">
      <c r="A77" s="15">
        <f>IF(TRABAJOS!B77="","",TRABAJOS!A77)</f>
        <v/>
      </c>
      <c r="B77" s="15">
        <f>IF(TRABAJOS!B77="","",TRABAJOS!B77)</f>
        <v/>
      </c>
      <c r="C77" s="15">
        <f>IF(TRABAJOS!B77="","",TRABAJOS!C77)</f>
        <v/>
      </c>
      <c r="D77" s="15">
        <f>IF(TRABAJOS!B77="","",TRABAJOS!E77)</f>
        <v/>
      </c>
      <c r="E77" s="16">
        <f>IF(TRABAJOS!B77="","",TRABAJOS!I77)</f>
        <v/>
      </c>
      <c r="F77" s="16">
        <f>IF(TRABAJOS!B77="","",TRABAJOS!K77)</f>
        <v/>
      </c>
      <c r="G77" s="16">
        <f>IF(TRABAJOS!B77="","",TRABAJOS!L77)</f>
        <v/>
      </c>
      <c r="H77" s="15">
        <f>IF(TRABAJOS!B77="","",IF(TRABAJOS!L77&lt;=0,"Liquidado","Parcial"))</f>
        <v/>
      </c>
    </row>
    <row r="78">
      <c r="A78" s="17">
        <f>IF(TRABAJOS!B78="","",TRABAJOS!A78)</f>
        <v/>
      </c>
      <c r="B78" s="17">
        <f>IF(TRABAJOS!B78="","",TRABAJOS!B78)</f>
        <v/>
      </c>
      <c r="C78" s="17">
        <f>IF(TRABAJOS!B78="","",TRABAJOS!C78)</f>
        <v/>
      </c>
      <c r="D78" s="17">
        <f>IF(TRABAJOS!B78="","",TRABAJOS!E78)</f>
        <v/>
      </c>
      <c r="E78" s="18">
        <f>IF(TRABAJOS!B78="","",TRABAJOS!I78)</f>
        <v/>
      </c>
      <c r="F78" s="18">
        <f>IF(TRABAJOS!B78="","",TRABAJOS!K78)</f>
        <v/>
      </c>
      <c r="G78" s="18">
        <f>IF(TRABAJOS!B78="","",TRABAJOS!L78)</f>
        <v/>
      </c>
      <c r="H78" s="17">
        <f>IF(TRABAJOS!B78="","",IF(TRABAJOS!L78&lt;=0,"Liquidado","Parcial"))</f>
        <v/>
      </c>
    </row>
    <row r="79">
      <c r="A79" s="15">
        <f>IF(TRABAJOS!B79="","",TRABAJOS!A79)</f>
        <v/>
      </c>
      <c r="B79" s="15">
        <f>IF(TRABAJOS!B79="","",TRABAJOS!B79)</f>
        <v/>
      </c>
      <c r="C79" s="15">
        <f>IF(TRABAJOS!B79="","",TRABAJOS!C79)</f>
        <v/>
      </c>
      <c r="D79" s="15">
        <f>IF(TRABAJOS!B79="","",TRABAJOS!E79)</f>
        <v/>
      </c>
      <c r="E79" s="16">
        <f>IF(TRABAJOS!B79="","",TRABAJOS!I79)</f>
        <v/>
      </c>
      <c r="F79" s="16">
        <f>IF(TRABAJOS!B79="","",TRABAJOS!K79)</f>
        <v/>
      </c>
      <c r="G79" s="16">
        <f>IF(TRABAJOS!B79="","",TRABAJOS!L79)</f>
        <v/>
      </c>
      <c r="H79" s="15">
        <f>IF(TRABAJOS!B79="","",IF(TRABAJOS!L79&lt;=0,"Liquidado","Parcial"))</f>
        <v/>
      </c>
    </row>
    <row r="80">
      <c r="A80" s="17">
        <f>IF(TRABAJOS!B80="","",TRABAJOS!A80)</f>
        <v/>
      </c>
      <c r="B80" s="17">
        <f>IF(TRABAJOS!B80="","",TRABAJOS!B80)</f>
        <v/>
      </c>
      <c r="C80" s="17">
        <f>IF(TRABAJOS!B80="","",TRABAJOS!C80)</f>
        <v/>
      </c>
      <c r="D80" s="17">
        <f>IF(TRABAJOS!B80="","",TRABAJOS!E80)</f>
        <v/>
      </c>
      <c r="E80" s="18">
        <f>IF(TRABAJOS!B80="","",TRABAJOS!I80)</f>
        <v/>
      </c>
      <c r="F80" s="18">
        <f>IF(TRABAJOS!B80="","",TRABAJOS!K80)</f>
        <v/>
      </c>
      <c r="G80" s="18">
        <f>IF(TRABAJOS!B80="","",TRABAJOS!L80)</f>
        <v/>
      </c>
      <c r="H80" s="17">
        <f>IF(TRABAJOS!B80="","",IF(TRABAJOS!L80&lt;=0,"Liquidado","Parcial"))</f>
        <v/>
      </c>
    </row>
    <row r="81">
      <c r="A81" s="15">
        <f>IF(TRABAJOS!B81="","",TRABAJOS!A81)</f>
        <v/>
      </c>
      <c r="B81" s="15">
        <f>IF(TRABAJOS!B81="","",TRABAJOS!B81)</f>
        <v/>
      </c>
      <c r="C81" s="15">
        <f>IF(TRABAJOS!B81="","",TRABAJOS!C81)</f>
        <v/>
      </c>
      <c r="D81" s="15">
        <f>IF(TRABAJOS!B81="","",TRABAJOS!E81)</f>
        <v/>
      </c>
      <c r="E81" s="16">
        <f>IF(TRABAJOS!B81="","",TRABAJOS!I81)</f>
        <v/>
      </c>
      <c r="F81" s="16">
        <f>IF(TRABAJOS!B81="","",TRABAJOS!K81)</f>
        <v/>
      </c>
      <c r="G81" s="16">
        <f>IF(TRABAJOS!B81="","",TRABAJOS!L81)</f>
        <v/>
      </c>
      <c r="H81" s="15">
        <f>IF(TRABAJOS!B81="","",IF(TRABAJOS!L81&lt;=0,"Liquidado","Parcial"))</f>
        <v/>
      </c>
    </row>
    <row r="82">
      <c r="A82" s="17">
        <f>IF(TRABAJOS!B82="","",TRABAJOS!A82)</f>
        <v/>
      </c>
      <c r="B82" s="17">
        <f>IF(TRABAJOS!B82="","",TRABAJOS!B82)</f>
        <v/>
      </c>
      <c r="C82" s="17">
        <f>IF(TRABAJOS!B82="","",TRABAJOS!C82)</f>
        <v/>
      </c>
      <c r="D82" s="17">
        <f>IF(TRABAJOS!B82="","",TRABAJOS!E82)</f>
        <v/>
      </c>
      <c r="E82" s="18">
        <f>IF(TRABAJOS!B82="","",TRABAJOS!I82)</f>
        <v/>
      </c>
      <c r="F82" s="18">
        <f>IF(TRABAJOS!B82="","",TRABAJOS!K82)</f>
        <v/>
      </c>
      <c r="G82" s="18">
        <f>IF(TRABAJOS!B82="","",TRABAJOS!L82)</f>
        <v/>
      </c>
      <c r="H82" s="17">
        <f>IF(TRABAJOS!B82="","",IF(TRABAJOS!L82&lt;=0,"Liquidado","Parcial"))</f>
        <v/>
      </c>
    </row>
    <row r="83">
      <c r="A83" s="15">
        <f>IF(TRABAJOS!B83="","",TRABAJOS!A83)</f>
        <v/>
      </c>
      <c r="B83" s="15">
        <f>IF(TRABAJOS!B83="","",TRABAJOS!B83)</f>
        <v/>
      </c>
      <c r="C83" s="15">
        <f>IF(TRABAJOS!B83="","",TRABAJOS!C83)</f>
        <v/>
      </c>
      <c r="D83" s="15">
        <f>IF(TRABAJOS!B83="","",TRABAJOS!E83)</f>
        <v/>
      </c>
      <c r="E83" s="16">
        <f>IF(TRABAJOS!B83="","",TRABAJOS!I83)</f>
        <v/>
      </c>
      <c r="F83" s="16">
        <f>IF(TRABAJOS!B83="","",TRABAJOS!K83)</f>
        <v/>
      </c>
      <c r="G83" s="16">
        <f>IF(TRABAJOS!B83="","",TRABAJOS!L83)</f>
        <v/>
      </c>
      <c r="H83" s="15">
        <f>IF(TRABAJOS!B83="","",IF(TRABAJOS!L83&lt;=0,"Liquidado","Parcial"))</f>
        <v/>
      </c>
    </row>
    <row r="84">
      <c r="A84" s="17">
        <f>IF(TRABAJOS!B84="","",TRABAJOS!A84)</f>
        <v/>
      </c>
      <c r="B84" s="17">
        <f>IF(TRABAJOS!B84="","",TRABAJOS!B84)</f>
        <v/>
      </c>
      <c r="C84" s="17">
        <f>IF(TRABAJOS!B84="","",TRABAJOS!C84)</f>
        <v/>
      </c>
      <c r="D84" s="17">
        <f>IF(TRABAJOS!B84="","",TRABAJOS!E84)</f>
        <v/>
      </c>
      <c r="E84" s="18">
        <f>IF(TRABAJOS!B84="","",TRABAJOS!I84)</f>
        <v/>
      </c>
      <c r="F84" s="18">
        <f>IF(TRABAJOS!B84="","",TRABAJOS!K84)</f>
        <v/>
      </c>
      <c r="G84" s="18">
        <f>IF(TRABAJOS!B84="","",TRABAJOS!L84)</f>
        <v/>
      </c>
      <c r="H84" s="17">
        <f>IF(TRABAJOS!B84="","",IF(TRABAJOS!L84&lt;=0,"Liquidado","Parcial"))</f>
        <v/>
      </c>
    </row>
    <row r="85">
      <c r="A85" s="15">
        <f>IF(TRABAJOS!B85="","",TRABAJOS!A85)</f>
        <v/>
      </c>
      <c r="B85" s="15">
        <f>IF(TRABAJOS!B85="","",TRABAJOS!B85)</f>
        <v/>
      </c>
      <c r="C85" s="15">
        <f>IF(TRABAJOS!B85="","",TRABAJOS!C85)</f>
        <v/>
      </c>
      <c r="D85" s="15">
        <f>IF(TRABAJOS!B85="","",TRABAJOS!E85)</f>
        <v/>
      </c>
      <c r="E85" s="16">
        <f>IF(TRABAJOS!B85="","",TRABAJOS!I85)</f>
        <v/>
      </c>
      <c r="F85" s="16">
        <f>IF(TRABAJOS!B85="","",TRABAJOS!K85)</f>
        <v/>
      </c>
      <c r="G85" s="16">
        <f>IF(TRABAJOS!B85="","",TRABAJOS!L85)</f>
        <v/>
      </c>
      <c r="H85" s="15">
        <f>IF(TRABAJOS!B85="","",IF(TRABAJOS!L85&lt;=0,"Liquidado","Parcial"))</f>
        <v/>
      </c>
    </row>
    <row r="86">
      <c r="A86" s="17">
        <f>IF(TRABAJOS!B86="","",TRABAJOS!A86)</f>
        <v/>
      </c>
      <c r="B86" s="17">
        <f>IF(TRABAJOS!B86="","",TRABAJOS!B86)</f>
        <v/>
      </c>
      <c r="C86" s="17">
        <f>IF(TRABAJOS!B86="","",TRABAJOS!C86)</f>
        <v/>
      </c>
      <c r="D86" s="17">
        <f>IF(TRABAJOS!B86="","",TRABAJOS!E86)</f>
        <v/>
      </c>
      <c r="E86" s="18">
        <f>IF(TRABAJOS!B86="","",TRABAJOS!I86)</f>
        <v/>
      </c>
      <c r="F86" s="18">
        <f>IF(TRABAJOS!B86="","",TRABAJOS!K86)</f>
        <v/>
      </c>
      <c r="G86" s="18">
        <f>IF(TRABAJOS!B86="","",TRABAJOS!L86)</f>
        <v/>
      </c>
      <c r="H86" s="17">
        <f>IF(TRABAJOS!B86="","",IF(TRABAJOS!L86&lt;=0,"Liquidado","Parcial"))</f>
        <v/>
      </c>
    </row>
    <row r="87">
      <c r="A87" s="15">
        <f>IF(TRABAJOS!B87="","",TRABAJOS!A87)</f>
        <v/>
      </c>
      <c r="B87" s="15">
        <f>IF(TRABAJOS!B87="","",TRABAJOS!B87)</f>
        <v/>
      </c>
      <c r="C87" s="15">
        <f>IF(TRABAJOS!B87="","",TRABAJOS!C87)</f>
        <v/>
      </c>
      <c r="D87" s="15">
        <f>IF(TRABAJOS!B87="","",TRABAJOS!E87)</f>
        <v/>
      </c>
      <c r="E87" s="16">
        <f>IF(TRABAJOS!B87="","",TRABAJOS!I87)</f>
        <v/>
      </c>
      <c r="F87" s="16">
        <f>IF(TRABAJOS!B87="","",TRABAJOS!K87)</f>
        <v/>
      </c>
      <c r="G87" s="16">
        <f>IF(TRABAJOS!B87="","",TRABAJOS!L87)</f>
        <v/>
      </c>
      <c r="H87" s="15">
        <f>IF(TRABAJOS!B87="","",IF(TRABAJOS!L87&lt;=0,"Liquidado","Parcial"))</f>
        <v/>
      </c>
    </row>
    <row r="88">
      <c r="A88" s="17">
        <f>IF(TRABAJOS!B88="","",TRABAJOS!A88)</f>
        <v/>
      </c>
      <c r="B88" s="17">
        <f>IF(TRABAJOS!B88="","",TRABAJOS!B88)</f>
        <v/>
      </c>
      <c r="C88" s="17">
        <f>IF(TRABAJOS!B88="","",TRABAJOS!C88)</f>
        <v/>
      </c>
      <c r="D88" s="17">
        <f>IF(TRABAJOS!B88="","",TRABAJOS!E88)</f>
        <v/>
      </c>
      <c r="E88" s="18">
        <f>IF(TRABAJOS!B88="","",TRABAJOS!I88)</f>
        <v/>
      </c>
      <c r="F88" s="18">
        <f>IF(TRABAJOS!B88="","",TRABAJOS!K88)</f>
        <v/>
      </c>
      <c r="G88" s="18">
        <f>IF(TRABAJOS!B88="","",TRABAJOS!L88)</f>
        <v/>
      </c>
      <c r="H88" s="17">
        <f>IF(TRABAJOS!B88="","",IF(TRABAJOS!L88&lt;=0,"Liquidado","Parcial"))</f>
        <v/>
      </c>
    </row>
    <row r="89">
      <c r="A89" s="15">
        <f>IF(TRABAJOS!B89="","",TRABAJOS!A89)</f>
        <v/>
      </c>
      <c r="B89" s="15">
        <f>IF(TRABAJOS!B89="","",TRABAJOS!B89)</f>
        <v/>
      </c>
      <c r="C89" s="15">
        <f>IF(TRABAJOS!B89="","",TRABAJOS!C89)</f>
        <v/>
      </c>
      <c r="D89" s="15">
        <f>IF(TRABAJOS!B89="","",TRABAJOS!E89)</f>
        <v/>
      </c>
      <c r="E89" s="16">
        <f>IF(TRABAJOS!B89="","",TRABAJOS!I89)</f>
        <v/>
      </c>
      <c r="F89" s="16">
        <f>IF(TRABAJOS!B89="","",TRABAJOS!K89)</f>
        <v/>
      </c>
      <c r="G89" s="16">
        <f>IF(TRABAJOS!B89="","",TRABAJOS!L89)</f>
        <v/>
      </c>
      <c r="H89" s="15">
        <f>IF(TRABAJOS!B89="","",IF(TRABAJOS!L89&lt;=0,"Liquidado","Parcial"))</f>
        <v/>
      </c>
    </row>
    <row r="90">
      <c r="A90" s="17">
        <f>IF(TRABAJOS!B90="","",TRABAJOS!A90)</f>
        <v/>
      </c>
      <c r="B90" s="17">
        <f>IF(TRABAJOS!B90="","",TRABAJOS!B90)</f>
        <v/>
      </c>
      <c r="C90" s="17">
        <f>IF(TRABAJOS!B90="","",TRABAJOS!C90)</f>
        <v/>
      </c>
      <c r="D90" s="17">
        <f>IF(TRABAJOS!B90="","",TRABAJOS!E90)</f>
        <v/>
      </c>
      <c r="E90" s="18">
        <f>IF(TRABAJOS!B90="","",TRABAJOS!I90)</f>
        <v/>
      </c>
      <c r="F90" s="18">
        <f>IF(TRABAJOS!B90="","",TRABAJOS!K90)</f>
        <v/>
      </c>
      <c r="G90" s="18">
        <f>IF(TRABAJOS!B90="","",TRABAJOS!L90)</f>
        <v/>
      </c>
      <c r="H90" s="17">
        <f>IF(TRABAJOS!B90="","",IF(TRABAJOS!L90&lt;=0,"Liquidado","Parcial"))</f>
        <v/>
      </c>
    </row>
    <row r="91">
      <c r="A91" s="15">
        <f>IF(TRABAJOS!B91="","",TRABAJOS!A91)</f>
        <v/>
      </c>
      <c r="B91" s="15">
        <f>IF(TRABAJOS!B91="","",TRABAJOS!B91)</f>
        <v/>
      </c>
      <c r="C91" s="15">
        <f>IF(TRABAJOS!B91="","",TRABAJOS!C91)</f>
        <v/>
      </c>
      <c r="D91" s="15">
        <f>IF(TRABAJOS!B91="","",TRABAJOS!E91)</f>
        <v/>
      </c>
      <c r="E91" s="16">
        <f>IF(TRABAJOS!B91="","",TRABAJOS!I91)</f>
        <v/>
      </c>
      <c r="F91" s="16">
        <f>IF(TRABAJOS!B91="","",TRABAJOS!K91)</f>
        <v/>
      </c>
      <c r="G91" s="16">
        <f>IF(TRABAJOS!B91="","",TRABAJOS!L91)</f>
        <v/>
      </c>
      <c r="H91" s="15">
        <f>IF(TRABAJOS!B91="","",IF(TRABAJOS!L91&lt;=0,"Liquidado","Parcial"))</f>
        <v/>
      </c>
    </row>
    <row r="92">
      <c r="A92" s="17">
        <f>IF(TRABAJOS!B92="","",TRABAJOS!A92)</f>
        <v/>
      </c>
      <c r="B92" s="17">
        <f>IF(TRABAJOS!B92="","",TRABAJOS!B92)</f>
        <v/>
      </c>
      <c r="C92" s="17">
        <f>IF(TRABAJOS!B92="","",TRABAJOS!C92)</f>
        <v/>
      </c>
      <c r="D92" s="17">
        <f>IF(TRABAJOS!B92="","",TRABAJOS!E92)</f>
        <v/>
      </c>
      <c r="E92" s="18">
        <f>IF(TRABAJOS!B92="","",TRABAJOS!I92)</f>
        <v/>
      </c>
      <c r="F92" s="18">
        <f>IF(TRABAJOS!B92="","",TRABAJOS!K92)</f>
        <v/>
      </c>
      <c r="G92" s="18">
        <f>IF(TRABAJOS!B92="","",TRABAJOS!L92)</f>
        <v/>
      </c>
      <c r="H92" s="17">
        <f>IF(TRABAJOS!B92="","",IF(TRABAJOS!L92&lt;=0,"Liquidado","Parcial"))</f>
        <v/>
      </c>
    </row>
    <row r="93">
      <c r="A93" s="15">
        <f>IF(TRABAJOS!B93="","",TRABAJOS!A93)</f>
        <v/>
      </c>
      <c r="B93" s="15">
        <f>IF(TRABAJOS!B93="","",TRABAJOS!B93)</f>
        <v/>
      </c>
      <c r="C93" s="15">
        <f>IF(TRABAJOS!B93="","",TRABAJOS!C93)</f>
        <v/>
      </c>
      <c r="D93" s="15">
        <f>IF(TRABAJOS!B93="","",TRABAJOS!E93)</f>
        <v/>
      </c>
      <c r="E93" s="16">
        <f>IF(TRABAJOS!B93="","",TRABAJOS!I93)</f>
        <v/>
      </c>
      <c r="F93" s="16">
        <f>IF(TRABAJOS!B93="","",TRABAJOS!K93)</f>
        <v/>
      </c>
      <c r="G93" s="16">
        <f>IF(TRABAJOS!B93="","",TRABAJOS!L93)</f>
        <v/>
      </c>
      <c r="H93" s="15">
        <f>IF(TRABAJOS!B93="","",IF(TRABAJOS!L93&lt;=0,"Liquidado","Parcial"))</f>
        <v/>
      </c>
    </row>
    <row r="94">
      <c r="A94" s="17">
        <f>IF(TRABAJOS!B94="","",TRABAJOS!A94)</f>
        <v/>
      </c>
      <c r="B94" s="17">
        <f>IF(TRABAJOS!B94="","",TRABAJOS!B94)</f>
        <v/>
      </c>
      <c r="C94" s="17">
        <f>IF(TRABAJOS!B94="","",TRABAJOS!C94)</f>
        <v/>
      </c>
      <c r="D94" s="17">
        <f>IF(TRABAJOS!B94="","",TRABAJOS!E94)</f>
        <v/>
      </c>
      <c r="E94" s="18">
        <f>IF(TRABAJOS!B94="","",TRABAJOS!I94)</f>
        <v/>
      </c>
      <c r="F94" s="18">
        <f>IF(TRABAJOS!B94="","",TRABAJOS!K94)</f>
        <v/>
      </c>
      <c r="G94" s="18">
        <f>IF(TRABAJOS!B94="","",TRABAJOS!L94)</f>
        <v/>
      </c>
      <c r="H94" s="17">
        <f>IF(TRABAJOS!B94="","",IF(TRABAJOS!L94&lt;=0,"Liquidado","Parcial"))</f>
        <v/>
      </c>
    </row>
    <row r="95">
      <c r="A95" s="15">
        <f>IF(TRABAJOS!B95="","",TRABAJOS!A95)</f>
        <v/>
      </c>
      <c r="B95" s="15">
        <f>IF(TRABAJOS!B95="","",TRABAJOS!B95)</f>
        <v/>
      </c>
      <c r="C95" s="15">
        <f>IF(TRABAJOS!B95="","",TRABAJOS!C95)</f>
        <v/>
      </c>
      <c r="D95" s="15">
        <f>IF(TRABAJOS!B95="","",TRABAJOS!E95)</f>
        <v/>
      </c>
      <c r="E95" s="16">
        <f>IF(TRABAJOS!B95="","",TRABAJOS!I95)</f>
        <v/>
      </c>
      <c r="F95" s="16">
        <f>IF(TRABAJOS!B95="","",TRABAJOS!K95)</f>
        <v/>
      </c>
      <c r="G95" s="16">
        <f>IF(TRABAJOS!B95="","",TRABAJOS!L95)</f>
        <v/>
      </c>
      <c r="H95" s="15">
        <f>IF(TRABAJOS!B95="","",IF(TRABAJOS!L95&lt;=0,"Liquidado","Parcial"))</f>
        <v/>
      </c>
    </row>
    <row r="96">
      <c r="A96" s="17">
        <f>IF(TRABAJOS!B96="","",TRABAJOS!A96)</f>
        <v/>
      </c>
      <c r="B96" s="17">
        <f>IF(TRABAJOS!B96="","",TRABAJOS!B96)</f>
        <v/>
      </c>
      <c r="C96" s="17">
        <f>IF(TRABAJOS!B96="","",TRABAJOS!C96)</f>
        <v/>
      </c>
      <c r="D96" s="17">
        <f>IF(TRABAJOS!B96="","",TRABAJOS!E96)</f>
        <v/>
      </c>
      <c r="E96" s="18">
        <f>IF(TRABAJOS!B96="","",TRABAJOS!I96)</f>
        <v/>
      </c>
      <c r="F96" s="18">
        <f>IF(TRABAJOS!B96="","",TRABAJOS!K96)</f>
        <v/>
      </c>
      <c r="G96" s="18">
        <f>IF(TRABAJOS!B96="","",TRABAJOS!L96)</f>
        <v/>
      </c>
      <c r="H96" s="17">
        <f>IF(TRABAJOS!B96="","",IF(TRABAJOS!L96&lt;=0,"Liquidado","Parcial"))</f>
        <v/>
      </c>
    </row>
    <row r="97">
      <c r="A97" s="15">
        <f>IF(TRABAJOS!B97="","",TRABAJOS!A97)</f>
        <v/>
      </c>
      <c r="B97" s="15">
        <f>IF(TRABAJOS!B97="","",TRABAJOS!B97)</f>
        <v/>
      </c>
      <c r="C97" s="15">
        <f>IF(TRABAJOS!B97="","",TRABAJOS!C97)</f>
        <v/>
      </c>
      <c r="D97" s="15">
        <f>IF(TRABAJOS!B97="","",TRABAJOS!E97)</f>
        <v/>
      </c>
      <c r="E97" s="16">
        <f>IF(TRABAJOS!B97="","",TRABAJOS!I97)</f>
        <v/>
      </c>
      <c r="F97" s="16">
        <f>IF(TRABAJOS!B97="","",TRABAJOS!K97)</f>
        <v/>
      </c>
      <c r="G97" s="16">
        <f>IF(TRABAJOS!B97="","",TRABAJOS!L97)</f>
        <v/>
      </c>
      <c r="H97" s="15">
        <f>IF(TRABAJOS!B97="","",IF(TRABAJOS!L97&lt;=0,"Liquidado","Parcial"))</f>
        <v/>
      </c>
    </row>
    <row r="98">
      <c r="A98" s="17">
        <f>IF(TRABAJOS!B98="","",TRABAJOS!A98)</f>
        <v/>
      </c>
      <c r="B98" s="17">
        <f>IF(TRABAJOS!B98="","",TRABAJOS!B98)</f>
        <v/>
      </c>
      <c r="C98" s="17">
        <f>IF(TRABAJOS!B98="","",TRABAJOS!C98)</f>
        <v/>
      </c>
      <c r="D98" s="17">
        <f>IF(TRABAJOS!B98="","",TRABAJOS!E98)</f>
        <v/>
      </c>
      <c r="E98" s="18">
        <f>IF(TRABAJOS!B98="","",TRABAJOS!I98)</f>
        <v/>
      </c>
      <c r="F98" s="18">
        <f>IF(TRABAJOS!B98="","",TRABAJOS!K98)</f>
        <v/>
      </c>
      <c r="G98" s="18">
        <f>IF(TRABAJOS!B98="","",TRABAJOS!L98)</f>
        <v/>
      </c>
      <c r="H98" s="17">
        <f>IF(TRABAJOS!B98="","",IF(TRABAJOS!L98&lt;=0,"Liquidado","Parcial"))</f>
        <v/>
      </c>
    </row>
    <row r="99">
      <c r="A99" s="15">
        <f>IF(TRABAJOS!B99="","",TRABAJOS!A99)</f>
        <v/>
      </c>
      <c r="B99" s="15">
        <f>IF(TRABAJOS!B99="","",TRABAJOS!B99)</f>
        <v/>
      </c>
      <c r="C99" s="15">
        <f>IF(TRABAJOS!B99="","",TRABAJOS!C99)</f>
        <v/>
      </c>
      <c r="D99" s="15">
        <f>IF(TRABAJOS!B99="","",TRABAJOS!E99)</f>
        <v/>
      </c>
      <c r="E99" s="16">
        <f>IF(TRABAJOS!B99="","",TRABAJOS!I99)</f>
        <v/>
      </c>
      <c r="F99" s="16">
        <f>IF(TRABAJOS!B99="","",TRABAJOS!K99)</f>
        <v/>
      </c>
      <c r="G99" s="16">
        <f>IF(TRABAJOS!B99="","",TRABAJOS!L99)</f>
        <v/>
      </c>
      <c r="H99" s="15">
        <f>IF(TRABAJOS!B99="","",IF(TRABAJOS!L99&lt;=0,"Liquidado","Parcial"))</f>
        <v/>
      </c>
    </row>
    <row r="100">
      <c r="A100" s="17">
        <f>IF(TRABAJOS!B100="","",TRABAJOS!A100)</f>
        <v/>
      </c>
      <c r="B100" s="17">
        <f>IF(TRABAJOS!B100="","",TRABAJOS!B100)</f>
        <v/>
      </c>
      <c r="C100" s="17">
        <f>IF(TRABAJOS!B100="","",TRABAJOS!C100)</f>
        <v/>
      </c>
      <c r="D100" s="17">
        <f>IF(TRABAJOS!B100="","",TRABAJOS!E100)</f>
        <v/>
      </c>
      <c r="E100" s="18">
        <f>IF(TRABAJOS!B100="","",TRABAJOS!I100)</f>
        <v/>
      </c>
      <c r="F100" s="18">
        <f>IF(TRABAJOS!B100="","",TRABAJOS!K100)</f>
        <v/>
      </c>
      <c r="G100" s="18">
        <f>IF(TRABAJOS!B100="","",TRABAJOS!L100)</f>
        <v/>
      </c>
      <c r="H100" s="17">
        <f>IF(TRABAJOS!B100="","",IF(TRABAJOS!L100&lt;=0,"Liquidado","Parcial"))</f>
        <v/>
      </c>
    </row>
    <row r="101">
      <c r="A101" s="15">
        <f>IF(TRABAJOS!B101="","",TRABAJOS!A101)</f>
        <v/>
      </c>
      <c r="B101" s="15">
        <f>IF(TRABAJOS!B101="","",TRABAJOS!B101)</f>
        <v/>
      </c>
      <c r="C101" s="15">
        <f>IF(TRABAJOS!B101="","",TRABAJOS!C101)</f>
        <v/>
      </c>
      <c r="D101" s="15">
        <f>IF(TRABAJOS!B101="","",TRABAJOS!E101)</f>
        <v/>
      </c>
      <c r="E101" s="16">
        <f>IF(TRABAJOS!B101="","",TRABAJOS!I101)</f>
        <v/>
      </c>
      <c r="F101" s="16">
        <f>IF(TRABAJOS!B101="","",TRABAJOS!K101)</f>
        <v/>
      </c>
      <c r="G101" s="16">
        <f>IF(TRABAJOS!B101="","",TRABAJOS!L101)</f>
        <v/>
      </c>
      <c r="H101" s="15">
        <f>IF(TRABAJOS!B101="","",IF(TRABAJOS!L101&lt;=0,"Liquidado","Parcial"))</f>
        <v/>
      </c>
    </row>
    <row r="102">
      <c r="A102" s="17">
        <f>IF(TRABAJOS!B102="","",TRABAJOS!A102)</f>
        <v/>
      </c>
      <c r="B102" s="17">
        <f>IF(TRABAJOS!B102="","",TRABAJOS!B102)</f>
        <v/>
      </c>
      <c r="C102" s="17">
        <f>IF(TRABAJOS!B102="","",TRABAJOS!C102)</f>
        <v/>
      </c>
      <c r="D102" s="17">
        <f>IF(TRABAJOS!B102="","",TRABAJOS!E102)</f>
        <v/>
      </c>
      <c r="E102" s="18">
        <f>IF(TRABAJOS!B102="","",TRABAJOS!I102)</f>
        <v/>
      </c>
      <c r="F102" s="18">
        <f>IF(TRABAJOS!B102="","",TRABAJOS!K102)</f>
        <v/>
      </c>
      <c r="G102" s="18">
        <f>IF(TRABAJOS!B102="","",TRABAJOS!L102)</f>
        <v/>
      </c>
      <c r="H102" s="17">
        <f>IF(TRABAJOS!B102="","",IF(TRABAJOS!L102&lt;=0,"Liquidado","Parcial"))</f>
        <v/>
      </c>
    </row>
    <row r="103">
      <c r="A103" s="15">
        <f>IF(TRABAJOS!B103="","",TRABAJOS!A103)</f>
        <v/>
      </c>
      <c r="B103" s="15">
        <f>IF(TRABAJOS!B103="","",TRABAJOS!B103)</f>
        <v/>
      </c>
      <c r="C103" s="15">
        <f>IF(TRABAJOS!B103="","",TRABAJOS!C103)</f>
        <v/>
      </c>
      <c r="D103" s="15">
        <f>IF(TRABAJOS!B103="","",TRABAJOS!E103)</f>
        <v/>
      </c>
      <c r="E103" s="16">
        <f>IF(TRABAJOS!B103="","",TRABAJOS!I103)</f>
        <v/>
      </c>
      <c r="F103" s="16">
        <f>IF(TRABAJOS!B103="","",TRABAJOS!K103)</f>
        <v/>
      </c>
      <c r="G103" s="16">
        <f>IF(TRABAJOS!B103="","",TRABAJOS!L103)</f>
        <v/>
      </c>
      <c r="H103" s="15">
        <f>IF(TRABAJOS!B103="","",IF(TRABAJOS!L103&lt;=0,"Liquidado","Parcial"))</f>
        <v/>
      </c>
    </row>
    <row r="104">
      <c r="A104" s="17">
        <f>IF(TRABAJOS!B104="","",TRABAJOS!A104)</f>
        <v/>
      </c>
      <c r="B104" s="17">
        <f>IF(TRABAJOS!B104="","",TRABAJOS!B104)</f>
        <v/>
      </c>
      <c r="C104" s="17">
        <f>IF(TRABAJOS!B104="","",TRABAJOS!C104)</f>
        <v/>
      </c>
      <c r="D104" s="17">
        <f>IF(TRABAJOS!B104="","",TRABAJOS!E104)</f>
        <v/>
      </c>
      <c r="E104" s="18">
        <f>IF(TRABAJOS!B104="","",TRABAJOS!I104)</f>
        <v/>
      </c>
      <c r="F104" s="18">
        <f>IF(TRABAJOS!B104="","",TRABAJOS!K104)</f>
        <v/>
      </c>
      <c r="G104" s="18">
        <f>IF(TRABAJOS!B104="","",TRABAJOS!L104)</f>
        <v/>
      </c>
      <c r="H104" s="17">
        <f>IF(TRABAJOS!B104="","",IF(TRABAJOS!L104&lt;=0,"Liquidado","Parcial"))</f>
        <v/>
      </c>
    </row>
    <row r="105">
      <c r="A105" s="15">
        <f>IF(TRABAJOS!B105="","",TRABAJOS!A105)</f>
        <v/>
      </c>
      <c r="B105" s="15">
        <f>IF(TRABAJOS!B105="","",TRABAJOS!B105)</f>
        <v/>
      </c>
      <c r="C105" s="15">
        <f>IF(TRABAJOS!B105="","",TRABAJOS!C105)</f>
        <v/>
      </c>
      <c r="D105" s="15">
        <f>IF(TRABAJOS!B105="","",TRABAJOS!E105)</f>
        <v/>
      </c>
      <c r="E105" s="16">
        <f>IF(TRABAJOS!B105="","",TRABAJOS!I105)</f>
        <v/>
      </c>
      <c r="F105" s="16">
        <f>IF(TRABAJOS!B105="","",TRABAJOS!K105)</f>
        <v/>
      </c>
      <c r="G105" s="16">
        <f>IF(TRABAJOS!B105="","",TRABAJOS!L105)</f>
        <v/>
      </c>
      <c r="H105" s="15">
        <f>IF(TRABAJOS!B105="","",IF(TRABAJOS!L105&lt;=0,"Liquidado","Parcial"))</f>
        <v/>
      </c>
    </row>
    <row r="106">
      <c r="A106" s="17">
        <f>IF(TRABAJOS!B106="","",TRABAJOS!A106)</f>
        <v/>
      </c>
      <c r="B106" s="17">
        <f>IF(TRABAJOS!B106="","",TRABAJOS!B106)</f>
        <v/>
      </c>
      <c r="C106" s="17">
        <f>IF(TRABAJOS!B106="","",TRABAJOS!C106)</f>
        <v/>
      </c>
      <c r="D106" s="17">
        <f>IF(TRABAJOS!B106="","",TRABAJOS!E106)</f>
        <v/>
      </c>
      <c r="E106" s="18">
        <f>IF(TRABAJOS!B106="","",TRABAJOS!I106)</f>
        <v/>
      </c>
      <c r="F106" s="18">
        <f>IF(TRABAJOS!B106="","",TRABAJOS!K106)</f>
        <v/>
      </c>
      <c r="G106" s="18">
        <f>IF(TRABAJOS!B106="","",TRABAJOS!L106)</f>
        <v/>
      </c>
      <c r="H106" s="17">
        <f>IF(TRABAJOS!B106="","",IF(TRABAJOS!L106&lt;=0,"Liquidado","Parcial"))</f>
        <v/>
      </c>
    </row>
    <row r="107">
      <c r="A107" s="15">
        <f>IF(TRABAJOS!B107="","",TRABAJOS!A107)</f>
        <v/>
      </c>
      <c r="B107" s="15">
        <f>IF(TRABAJOS!B107="","",TRABAJOS!B107)</f>
        <v/>
      </c>
      <c r="C107" s="15">
        <f>IF(TRABAJOS!B107="","",TRABAJOS!C107)</f>
        <v/>
      </c>
      <c r="D107" s="15">
        <f>IF(TRABAJOS!B107="","",TRABAJOS!E107)</f>
        <v/>
      </c>
      <c r="E107" s="16">
        <f>IF(TRABAJOS!B107="","",TRABAJOS!I107)</f>
        <v/>
      </c>
      <c r="F107" s="16">
        <f>IF(TRABAJOS!B107="","",TRABAJOS!K107)</f>
        <v/>
      </c>
      <c r="G107" s="16">
        <f>IF(TRABAJOS!B107="","",TRABAJOS!L107)</f>
        <v/>
      </c>
      <c r="H107" s="15">
        <f>IF(TRABAJOS!B107="","",IF(TRABAJOS!L107&lt;=0,"Liquidado","Parcial"))</f>
        <v/>
      </c>
    </row>
    <row r="108">
      <c r="A108" s="17">
        <f>IF(TRABAJOS!B108="","",TRABAJOS!A108)</f>
        <v/>
      </c>
      <c r="B108" s="17">
        <f>IF(TRABAJOS!B108="","",TRABAJOS!B108)</f>
        <v/>
      </c>
      <c r="C108" s="17">
        <f>IF(TRABAJOS!B108="","",TRABAJOS!C108)</f>
        <v/>
      </c>
      <c r="D108" s="17">
        <f>IF(TRABAJOS!B108="","",TRABAJOS!E108)</f>
        <v/>
      </c>
      <c r="E108" s="18">
        <f>IF(TRABAJOS!B108="","",TRABAJOS!I108)</f>
        <v/>
      </c>
      <c r="F108" s="18">
        <f>IF(TRABAJOS!B108="","",TRABAJOS!K108)</f>
        <v/>
      </c>
      <c r="G108" s="18">
        <f>IF(TRABAJOS!B108="","",TRABAJOS!L108)</f>
        <v/>
      </c>
      <c r="H108" s="17">
        <f>IF(TRABAJOS!B108="","",IF(TRABAJOS!L108&lt;=0,"Liquidado","Parcial"))</f>
        <v/>
      </c>
    </row>
    <row r="109">
      <c r="A109" s="15">
        <f>IF(TRABAJOS!B109="","",TRABAJOS!A109)</f>
        <v/>
      </c>
      <c r="B109" s="15">
        <f>IF(TRABAJOS!B109="","",TRABAJOS!B109)</f>
        <v/>
      </c>
      <c r="C109" s="15">
        <f>IF(TRABAJOS!B109="","",TRABAJOS!C109)</f>
        <v/>
      </c>
      <c r="D109" s="15">
        <f>IF(TRABAJOS!B109="","",TRABAJOS!E109)</f>
        <v/>
      </c>
      <c r="E109" s="16">
        <f>IF(TRABAJOS!B109="","",TRABAJOS!I109)</f>
        <v/>
      </c>
      <c r="F109" s="16">
        <f>IF(TRABAJOS!B109="","",TRABAJOS!K109)</f>
        <v/>
      </c>
      <c r="G109" s="16">
        <f>IF(TRABAJOS!B109="","",TRABAJOS!L109)</f>
        <v/>
      </c>
      <c r="H109" s="15">
        <f>IF(TRABAJOS!B109="","",IF(TRABAJOS!L109&lt;=0,"Liquidado","Parcial"))</f>
        <v/>
      </c>
    </row>
    <row r="110">
      <c r="A110" s="17">
        <f>IF(TRABAJOS!B110="","",TRABAJOS!A110)</f>
        <v/>
      </c>
      <c r="B110" s="17">
        <f>IF(TRABAJOS!B110="","",TRABAJOS!B110)</f>
        <v/>
      </c>
      <c r="C110" s="17">
        <f>IF(TRABAJOS!B110="","",TRABAJOS!C110)</f>
        <v/>
      </c>
      <c r="D110" s="17">
        <f>IF(TRABAJOS!B110="","",TRABAJOS!E110)</f>
        <v/>
      </c>
      <c r="E110" s="18">
        <f>IF(TRABAJOS!B110="","",TRABAJOS!I110)</f>
        <v/>
      </c>
      <c r="F110" s="18">
        <f>IF(TRABAJOS!B110="","",TRABAJOS!K110)</f>
        <v/>
      </c>
      <c r="G110" s="18">
        <f>IF(TRABAJOS!B110="","",TRABAJOS!L110)</f>
        <v/>
      </c>
      <c r="H110" s="17">
        <f>IF(TRABAJOS!B110="","",IF(TRABAJOS!L110&lt;=0,"Liquidado","Parcial"))</f>
        <v/>
      </c>
    </row>
    <row r="111">
      <c r="A111" s="15">
        <f>IF(TRABAJOS!B111="","",TRABAJOS!A111)</f>
        <v/>
      </c>
      <c r="B111" s="15">
        <f>IF(TRABAJOS!B111="","",TRABAJOS!B111)</f>
        <v/>
      </c>
      <c r="C111" s="15">
        <f>IF(TRABAJOS!B111="","",TRABAJOS!C111)</f>
        <v/>
      </c>
      <c r="D111" s="15">
        <f>IF(TRABAJOS!B111="","",TRABAJOS!E111)</f>
        <v/>
      </c>
      <c r="E111" s="16">
        <f>IF(TRABAJOS!B111="","",TRABAJOS!I111)</f>
        <v/>
      </c>
      <c r="F111" s="16">
        <f>IF(TRABAJOS!B111="","",TRABAJOS!K111)</f>
        <v/>
      </c>
      <c r="G111" s="16">
        <f>IF(TRABAJOS!B111="","",TRABAJOS!L111)</f>
        <v/>
      </c>
      <c r="H111" s="15">
        <f>IF(TRABAJOS!B111="","",IF(TRABAJOS!L111&lt;=0,"Liquidado","Parcial"))</f>
        <v/>
      </c>
    </row>
    <row r="112">
      <c r="A112" s="17">
        <f>IF(TRABAJOS!B112="","",TRABAJOS!A112)</f>
        <v/>
      </c>
      <c r="B112" s="17">
        <f>IF(TRABAJOS!B112="","",TRABAJOS!B112)</f>
        <v/>
      </c>
      <c r="C112" s="17">
        <f>IF(TRABAJOS!B112="","",TRABAJOS!C112)</f>
        <v/>
      </c>
      <c r="D112" s="17">
        <f>IF(TRABAJOS!B112="","",TRABAJOS!E112)</f>
        <v/>
      </c>
      <c r="E112" s="18">
        <f>IF(TRABAJOS!B112="","",TRABAJOS!I112)</f>
        <v/>
      </c>
      <c r="F112" s="18">
        <f>IF(TRABAJOS!B112="","",TRABAJOS!K112)</f>
        <v/>
      </c>
      <c r="G112" s="18">
        <f>IF(TRABAJOS!B112="","",TRABAJOS!L112)</f>
        <v/>
      </c>
      <c r="H112" s="17">
        <f>IF(TRABAJOS!B112="","",IF(TRABAJOS!L112&lt;=0,"Liquidado","Parcial"))</f>
        <v/>
      </c>
    </row>
    <row r="113">
      <c r="A113" s="15">
        <f>IF(TRABAJOS!B113="","",TRABAJOS!A113)</f>
        <v/>
      </c>
      <c r="B113" s="15">
        <f>IF(TRABAJOS!B113="","",TRABAJOS!B113)</f>
        <v/>
      </c>
      <c r="C113" s="15">
        <f>IF(TRABAJOS!B113="","",TRABAJOS!C113)</f>
        <v/>
      </c>
      <c r="D113" s="15">
        <f>IF(TRABAJOS!B113="","",TRABAJOS!E113)</f>
        <v/>
      </c>
      <c r="E113" s="16">
        <f>IF(TRABAJOS!B113="","",TRABAJOS!I113)</f>
        <v/>
      </c>
      <c r="F113" s="16">
        <f>IF(TRABAJOS!B113="","",TRABAJOS!K113)</f>
        <v/>
      </c>
      <c r="G113" s="16">
        <f>IF(TRABAJOS!B113="","",TRABAJOS!L113)</f>
        <v/>
      </c>
      <c r="H113" s="15">
        <f>IF(TRABAJOS!B113="","",IF(TRABAJOS!L113&lt;=0,"Liquidado","Parcial"))</f>
        <v/>
      </c>
    </row>
    <row r="114">
      <c r="A114" s="17">
        <f>IF(TRABAJOS!B114="","",TRABAJOS!A114)</f>
        <v/>
      </c>
      <c r="B114" s="17">
        <f>IF(TRABAJOS!B114="","",TRABAJOS!B114)</f>
        <v/>
      </c>
      <c r="C114" s="17">
        <f>IF(TRABAJOS!B114="","",TRABAJOS!C114)</f>
        <v/>
      </c>
      <c r="D114" s="17">
        <f>IF(TRABAJOS!B114="","",TRABAJOS!E114)</f>
        <v/>
      </c>
      <c r="E114" s="18">
        <f>IF(TRABAJOS!B114="","",TRABAJOS!I114)</f>
        <v/>
      </c>
      <c r="F114" s="18">
        <f>IF(TRABAJOS!B114="","",TRABAJOS!K114)</f>
        <v/>
      </c>
      <c r="G114" s="18">
        <f>IF(TRABAJOS!B114="","",TRABAJOS!L114)</f>
        <v/>
      </c>
      <c r="H114" s="17">
        <f>IF(TRABAJOS!B114="","",IF(TRABAJOS!L114&lt;=0,"Liquidado","Parcial"))</f>
        <v/>
      </c>
    </row>
    <row r="115">
      <c r="A115" s="15">
        <f>IF(TRABAJOS!B115="","",TRABAJOS!A115)</f>
        <v/>
      </c>
      <c r="B115" s="15">
        <f>IF(TRABAJOS!B115="","",TRABAJOS!B115)</f>
        <v/>
      </c>
      <c r="C115" s="15">
        <f>IF(TRABAJOS!B115="","",TRABAJOS!C115)</f>
        <v/>
      </c>
      <c r="D115" s="15">
        <f>IF(TRABAJOS!B115="","",TRABAJOS!E115)</f>
        <v/>
      </c>
      <c r="E115" s="16">
        <f>IF(TRABAJOS!B115="","",TRABAJOS!I115)</f>
        <v/>
      </c>
      <c r="F115" s="16">
        <f>IF(TRABAJOS!B115="","",TRABAJOS!K115)</f>
        <v/>
      </c>
      <c r="G115" s="16">
        <f>IF(TRABAJOS!B115="","",TRABAJOS!L115)</f>
        <v/>
      </c>
      <c r="H115" s="15">
        <f>IF(TRABAJOS!B115="","",IF(TRABAJOS!L115&lt;=0,"Liquidado","Parcial"))</f>
        <v/>
      </c>
    </row>
    <row r="116">
      <c r="A116" s="17">
        <f>IF(TRABAJOS!B116="","",TRABAJOS!A116)</f>
        <v/>
      </c>
      <c r="B116" s="17">
        <f>IF(TRABAJOS!B116="","",TRABAJOS!B116)</f>
        <v/>
      </c>
      <c r="C116" s="17">
        <f>IF(TRABAJOS!B116="","",TRABAJOS!C116)</f>
        <v/>
      </c>
      <c r="D116" s="17">
        <f>IF(TRABAJOS!B116="","",TRABAJOS!E116)</f>
        <v/>
      </c>
      <c r="E116" s="18">
        <f>IF(TRABAJOS!B116="","",TRABAJOS!I116)</f>
        <v/>
      </c>
      <c r="F116" s="18">
        <f>IF(TRABAJOS!B116="","",TRABAJOS!K116)</f>
        <v/>
      </c>
      <c r="G116" s="18">
        <f>IF(TRABAJOS!B116="","",TRABAJOS!L116)</f>
        <v/>
      </c>
      <c r="H116" s="17">
        <f>IF(TRABAJOS!B116="","",IF(TRABAJOS!L116&lt;=0,"Liquidado","Parcial"))</f>
        <v/>
      </c>
    </row>
    <row r="117">
      <c r="A117" s="15">
        <f>IF(TRABAJOS!B117="","",TRABAJOS!A117)</f>
        <v/>
      </c>
      <c r="B117" s="15">
        <f>IF(TRABAJOS!B117="","",TRABAJOS!B117)</f>
        <v/>
      </c>
      <c r="C117" s="15">
        <f>IF(TRABAJOS!B117="","",TRABAJOS!C117)</f>
        <v/>
      </c>
      <c r="D117" s="15">
        <f>IF(TRABAJOS!B117="","",TRABAJOS!E117)</f>
        <v/>
      </c>
      <c r="E117" s="16">
        <f>IF(TRABAJOS!B117="","",TRABAJOS!I117)</f>
        <v/>
      </c>
      <c r="F117" s="16">
        <f>IF(TRABAJOS!B117="","",TRABAJOS!K117)</f>
        <v/>
      </c>
      <c r="G117" s="16">
        <f>IF(TRABAJOS!B117="","",TRABAJOS!L117)</f>
        <v/>
      </c>
      <c r="H117" s="15">
        <f>IF(TRABAJOS!B117="","",IF(TRABAJOS!L117&lt;=0,"Liquidado","Parcial"))</f>
        <v/>
      </c>
    </row>
    <row r="118">
      <c r="A118" s="17">
        <f>IF(TRABAJOS!B118="","",TRABAJOS!A118)</f>
        <v/>
      </c>
      <c r="B118" s="17">
        <f>IF(TRABAJOS!B118="","",TRABAJOS!B118)</f>
        <v/>
      </c>
      <c r="C118" s="17">
        <f>IF(TRABAJOS!B118="","",TRABAJOS!C118)</f>
        <v/>
      </c>
      <c r="D118" s="17">
        <f>IF(TRABAJOS!B118="","",TRABAJOS!E118)</f>
        <v/>
      </c>
      <c r="E118" s="18">
        <f>IF(TRABAJOS!B118="","",TRABAJOS!I118)</f>
        <v/>
      </c>
      <c r="F118" s="18">
        <f>IF(TRABAJOS!B118="","",TRABAJOS!K118)</f>
        <v/>
      </c>
      <c r="G118" s="18">
        <f>IF(TRABAJOS!B118="","",TRABAJOS!L118)</f>
        <v/>
      </c>
      <c r="H118" s="17">
        <f>IF(TRABAJOS!B118="","",IF(TRABAJOS!L118&lt;=0,"Liquidado","Parcial"))</f>
        <v/>
      </c>
    </row>
    <row r="119">
      <c r="A119" s="15">
        <f>IF(TRABAJOS!B119="","",TRABAJOS!A119)</f>
        <v/>
      </c>
      <c r="B119" s="15">
        <f>IF(TRABAJOS!B119="","",TRABAJOS!B119)</f>
        <v/>
      </c>
      <c r="C119" s="15">
        <f>IF(TRABAJOS!B119="","",TRABAJOS!C119)</f>
        <v/>
      </c>
      <c r="D119" s="15">
        <f>IF(TRABAJOS!B119="","",TRABAJOS!E119)</f>
        <v/>
      </c>
      <c r="E119" s="16">
        <f>IF(TRABAJOS!B119="","",TRABAJOS!I119)</f>
        <v/>
      </c>
      <c r="F119" s="16">
        <f>IF(TRABAJOS!B119="","",TRABAJOS!K119)</f>
        <v/>
      </c>
      <c r="G119" s="16">
        <f>IF(TRABAJOS!B119="","",TRABAJOS!L119)</f>
        <v/>
      </c>
      <c r="H119" s="15">
        <f>IF(TRABAJOS!B119="","",IF(TRABAJOS!L119&lt;=0,"Liquidado","Parcial"))</f>
        <v/>
      </c>
    </row>
    <row r="120">
      <c r="A120" s="17">
        <f>IF(TRABAJOS!B120="","",TRABAJOS!A120)</f>
        <v/>
      </c>
      <c r="B120" s="17">
        <f>IF(TRABAJOS!B120="","",TRABAJOS!B120)</f>
        <v/>
      </c>
      <c r="C120" s="17">
        <f>IF(TRABAJOS!B120="","",TRABAJOS!C120)</f>
        <v/>
      </c>
      <c r="D120" s="17">
        <f>IF(TRABAJOS!B120="","",TRABAJOS!E120)</f>
        <v/>
      </c>
      <c r="E120" s="18">
        <f>IF(TRABAJOS!B120="","",TRABAJOS!I120)</f>
        <v/>
      </c>
      <c r="F120" s="18">
        <f>IF(TRABAJOS!B120="","",TRABAJOS!K120)</f>
        <v/>
      </c>
      <c r="G120" s="18">
        <f>IF(TRABAJOS!B120="","",TRABAJOS!L120)</f>
        <v/>
      </c>
      <c r="H120" s="17">
        <f>IF(TRABAJOS!B120="","",IF(TRABAJOS!L120&lt;=0,"Liquidado","Parcial"))</f>
        <v/>
      </c>
    </row>
    <row r="121">
      <c r="A121" s="15">
        <f>IF(TRABAJOS!B121="","",TRABAJOS!A121)</f>
        <v/>
      </c>
      <c r="B121" s="15">
        <f>IF(TRABAJOS!B121="","",TRABAJOS!B121)</f>
        <v/>
      </c>
      <c r="C121" s="15">
        <f>IF(TRABAJOS!B121="","",TRABAJOS!C121)</f>
        <v/>
      </c>
      <c r="D121" s="15">
        <f>IF(TRABAJOS!B121="","",TRABAJOS!E121)</f>
        <v/>
      </c>
      <c r="E121" s="16">
        <f>IF(TRABAJOS!B121="","",TRABAJOS!I121)</f>
        <v/>
      </c>
      <c r="F121" s="16">
        <f>IF(TRABAJOS!B121="","",TRABAJOS!K121)</f>
        <v/>
      </c>
      <c r="G121" s="16">
        <f>IF(TRABAJOS!B121="","",TRABAJOS!L121)</f>
        <v/>
      </c>
      <c r="H121" s="15">
        <f>IF(TRABAJOS!B121="","",IF(TRABAJOS!L121&lt;=0,"Liquidado","Parcial"))</f>
        <v/>
      </c>
    </row>
    <row r="122">
      <c r="A122" s="17">
        <f>IF(TRABAJOS!B122="","",TRABAJOS!A122)</f>
        <v/>
      </c>
      <c r="B122" s="17">
        <f>IF(TRABAJOS!B122="","",TRABAJOS!B122)</f>
        <v/>
      </c>
      <c r="C122" s="17">
        <f>IF(TRABAJOS!B122="","",TRABAJOS!C122)</f>
        <v/>
      </c>
      <c r="D122" s="17">
        <f>IF(TRABAJOS!B122="","",TRABAJOS!E122)</f>
        <v/>
      </c>
      <c r="E122" s="18">
        <f>IF(TRABAJOS!B122="","",TRABAJOS!I122)</f>
        <v/>
      </c>
      <c r="F122" s="18">
        <f>IF(TRABAJOS!B122="","",TRABAJOS!K122)</f>
        <v/>
      </c>
      <c r="G122" s="18">
        <f>IF(TRABAJOS!B122="","",TRABAJOS!L122)</f>
        <v/>
      </c>
      <c r="H122" s="17">
        <f>IF(TRABAJOS!B122="","",IF(TRABAJOS!L122&lt;=0,"Liquidado","Parcial"))</f>
        <v/>
      </c>
    </row>
    <row r="123">
      <c r="A123" s="15">
        <f>IF(TRABAJOS!B123="","",TRABAJOS!A123)</f>
        <v/>
      </c>
      <c r="B123" s="15">
        <f>IF(TRABAJOS!B123="","",TRABAJOS!B123)</f>
        <v/>
      </c>
      <c r="C123" s="15">
        <f>IF(TRABAJOS!B123="","",TRABAJOS!C123)</f>
        <v/>
      </c>
      <c r="D123" s="15">
        <f>IF(TRABAJOS!B123="","",TRABAJOS!E123)</f>
        <v/>
      </c>
      <c r="E123" s="16">
        <f>IF(TRABAJOS!B123="","",TRABAJOS!I123)</f>
        <v/>
      </c>
      <c r="F123" s="16">
        <f>IF(TRABAJOS!B123="","",TRABAJOS!K123)</f>
        <v/>
      </c>
      <c r="G123" s="16">
        <f>IF(TRABAJOS!B123="","",TRABAJOS!L123)</f>
        <v/>
      </c>
      <c r="H123" s="15">
        <f>IF(TRABAJOS!B123="","",IF(TRABAJOS!L123&lt;=0,"Liquidado","Parcial"))</f>
        <v/>
      </c>
    </row>
    <row r="124">
      <c r="A124" s="17">
        <f>IF(TRABAJOS!B124="","",TRABAJOS!A124)</f>
        <v/>
      </c>
      <c r="B124" s="17">
        <f>IF(TRABAJOS!B124="","",TRABAJOS!B124)</f>
        <v/>
      </c>
      <c r="C124" s="17">
        <f>IF(TRABAJOS!B124="","",TRABAJOS!C124)</f>
        <v/>
      </c>
      <c r="D124" s="17">
        <f>IF(TRABAJOS!B124="","",TRABAJOS!E124)</f>
        <v/>
      </c>
      <c r="E124" s="18">
        <f>IF(TRABAJOS!B124="","",TRABAJOS!I124)</f>
        <v/>
      </c>
      <c r="F124" s="18">
        <f>IF(TRABAJOS!B124="","",TRABAJOS!K124)</f>
        <v/>
      </c>
      <c r="G124" s="18">
        <f>IF(TRABAJOS!B124="","",TRABAJOS!L124)</f>
        <v/>
      </c>
      <c r="H124" s="17">
        <f>IF(TRABAJOS!B124="","",IF(TRABAJOS!L124&lt;=0,"Liquidado","Parcial"))</f>
        <v/>
      </c>
    </row>
    <row r="125">
      <c r="A125" s="15">
        <f>IF(TRABAJOS!B125="","",TRABAJOS!A125)</f>
        <v/>
      </c>
      <c r="B125" s="15">
        <f>IF(TRABAJOS!B125="","",TRABAJOS!B125)</f>
        <v/>
      </c>
      <c r="C125" s="15">
        <f>IF(TRABAJOS!B125="","",TRABAJOS!C125)</f>
        <v/>
      </c>
      <c r="D125" s="15">
        <f>IF(TRABAJOS!B125="","",TRABAJOS!E125)</f>
        <v/>
      </c>
      <c r="E125" s="16">
        <f>IF(TRABAJOS!B125="","",TRABAJOS!I125)</f>
        <v/>
      </c>
      <c r="F125" s="16">
        <f>IF(TRABAJOS!B125="","",TRABAJOS!K125)</f>
        <v/>
      </c>
      <c r="G125" s="16">
        <f>IF(TRABAJOS!B125="","",TRABAJOS!L125)</f>
        <v/>
      </c>
      <c r="H125" s="15">
        <f>IF(TRABAJOS!B125="","",IF(TRABAJOS!L125&lt;=0,"Liquidado","Parcial"))</f>
        <v/>
      </c>
    </row>
    <row r="126">
      <c r="A126" s="17">
        <f>IF(TRABAJOS!B126="","",TRABAJOS!A126)</f>
        <v/>
      </c>
      <c r="B126" s="17">
        <f>IF(TRABAJOS!B126="","",TRABAJOS!B126)</f>
        <v/>
      </c>
      <c r="C126" s="17">
        <f>IF(TRABAJOS!B126="","",TRABAJOS!C126)</f>
        <v/>
      </c>
      <c r="D126" s="17">
        <f>IF(TRABAJOS!B126="","",TRABAJOS!E126)</f>
        <v/>
      </c>
      <c r="E126" s="18">
        <f>IF(TRABAJOS!B126="","",TRABAJOS!I126)</f>
        <v/>
      </c>
      <c r="F126" s="18">
        <f>IF(TRABAJOS!B126="","",TRABAJOS!K126)</f>
        <v/>
      </c>
      <c r="G126" s="18">
        <f>IF(TRABAJOS!B126="","",TRABAJOS!L126)</f>
        <v/>
      </c>
      <c r="H126" s="17">
        <f>IF(TRABAJOS!B126="","",IF(TRABAJOS!L126&lt;=0,"Liquidado","Parcial"))</f>
        <v/>
      </c>
    </row>
    <row r="127">
      <c r="A127" s="15">
        <f>IF(TRABAJOS!B127="","",TRABAJOS!A127)</f>
        <v/>
      </c>
      <c r="B127" s="15">
        <f>IF(TRABAJOS!B127="","",TRABAJOS!B127)</f>
        <v/>
      </c>
      <c r="C127" s="15">
        <f>IF(TRABAJOS!B127="","",TRABAJOS!C127)</f>
        <v/>
      </c>
      <c r="D127" s="15">
        <f>IF(TRABAJOS!B127="","",TRABAJOS!E127)</f>
        <v/>
      </c>
      <c r="E127" s="16">
        <f>IF(TRABAJOS!B127="","",TRABAJOS!I127)</f>
        <v/>
      </c>
      <c r="F127" s="16">
        <f>IF(TRABAJOS!B127="","",TRABAJOS!K127)</f>
        <v/>
      </c>
      <c r="G127" s="16">
        <f>IF(TRABAJOS!B127="","",TRABAJOS!L127)</f>
        <v/>
      </c>
      <c r="H127" s="15">
        <f>IF(TRABAJOS!B127="","",IF(TRABAJOS!L127&lt;=0,"Liquidado","Parcial"))</f>
        <v/>
      </c>
    </row>
    <row r="128">
      <c r="A128" s="17">
        <f>IF(TRABAJOS!B128="","",TRABAJOS!A128)</f>
        <v/>
      </c>
      <c r="B128" s="17">
        <f>IF(TRABAJOS!B128="","",TRABAJOS!B128)</f>
        <v/>
      </c>
      <c r="C128" s="17">
        <f>IF(TRABAJOS!B128="","",TRABAJOS!C128)</f>
        <v/>
      </c>
      <c r="D128" s="17">
        <f>IF(TRABAJOS!B128="","",TRABAJOS!E128)</f>
        <v/>
      </c>
      <c r="E128" s="18">
        <f>IF(TRABAJOS!B128="","",TRABAJOS!I128)</f>
        <v/>
      </c>
      <c r="F128" s="18">
        <f>IF(TRABAJOS!B128="","",TRABAJOS!K128)</f>
        <v/>
      </c>
      <c r="G128" s="18">
        <f>IF(TRABAJOS!B128="","",TRABAJOS!L128)</f>
        <v/>
      </c>
      <c r="H128" s="17">
        <f>IF(TRABAJOS!B128="","",IF(TRABAJOS!L128&lt;=0,"Liquidado","Parcial"))</f>
        <v/>
      </c>
    </row>
    <row r="129">
      <c r="A129" s="15">
        <f>IF(TRABAJOS!B129="","",TRABAJOS!A129)</f>
        <v/>
      </c>
      <c r="B129" s="15">
        <f>IF(TRABAJOS!B129="","",TRABAJOS!B129)</f>
        <v/>
      </c>
      <c r="C129" s="15">
        <f>IF(TRABAJOS!B129="","",TRABAJOS!C129)</f>
        <v/>
      </c>
      <c r="D129" s="15">
        <f>IF(TRABAJOS!B129="","",TRABAJOS!E129)</f>
        <v/>
      </c>
      <c r="E129" s="16">
        <f>IF(TRABAJOS!B129="","",TRABAJOS!I129)</f>
        <v/>
      </c>
      <c r="F129" s="16">
        <f>IF(TRABAJOS!B129="","",TRABAJOS!K129)</f>
        <v/>
      </c>
      <c r="G129" s="16">
        <f>IF(TRABAJOS!B129="","",TRABAJOS!L129)</f>
        <v/>
      </c>
      <c r="H129" s="15">
        <f>IF(TRABAJOS!B129="","",IF(TRABAJOS!L129&lt;=0,"Liquidado","Parcial"))</f>
        <v/>
      </c>
    </row>
    <row r="130">
      <c r="A130" s="17">
        <f>IF(TRABAJOS!B130="","",TRABAJOS!A130)</f>
        <v/>
      </c>
      <c r="B130" s="17">
        <f>IF(TRABAJOS!B130="","",TRABAJOS!B130)</f>
        <v/>
      </c>
      <c r="C130" s="17">
        <f>IF(TRABAJOS!B130="","",TRABAJOS!C130)</f>
        <v/>
      </c>
      <c r="D130" s="17">
        <f>IF(TRABAJOS!B130="","",TRABAJOS!E130)</f>
        <v/>
      </c>
      <c r="E130" s="18">
        <f>IF(TRABAJOS!B130="","",TRABAJOS!I130)</f>
        <v/>
      </c>
      <c r="F130" s="18">
        <f>IF(TRABAJOS!B130="","",TRABAJOS!K130)</f>
        <v/>
      </c>
      <c r="G130" s="18">
        <f>IF(TRABAJOS!B130="","",TRABAJOS!L130)</f>
        <v/>
      </c>
      <c r="H130" s="17">
        <f>IF(TRABAJOS!B130="","",IF(TRABAJOS!L130&lt;=0,"Liquidado","Parcial"))</f>
        <v/>
      </c>
    </row>
    <row r="131">
      <c r="A131" s="15">
        <f>IF(TRABAJOS!B131="","",TRABAJOS!A131)</f>
        <v/>
      </c>
      <c r="B131" s="15">
        <f>IF(TRABAJOS!B131="","",TRABAJOS!B131)</f>
        <v/>
      </c>
      <c r="C131" s="15">
        <f>IF(TRABAJOS!B131="","",TRABAJOS!C131)</f>
        <v/>
      </c>
      <c r="D131" s="15">
        <f>IF(TRABAJOS!B131="","",TRABAJOS!E131)</f>
        <v/>
      </c>
      <c r="E131" s="16">
        <f>IF(TRABAJOS!B131="","",TRABAJOS!I131)</f>
        <v/>
      </c>
      <c r="F131" s="16">
        <f>IF(TRABAJOS!B131="","",TRABAJOS!K131)</f>
        <v/>
      </c>
      <c r="G131" s="16">
        <f>IF(TRABAJOS!B131="","",TRABAJOS!L131)</f>
        <v/>
      </c>
      <c r="H131" s="15">
        <f>IF(TRABAJOS!B131="","",IF(TRABAJOS!L131&lt;=0,"Liquidado","Parcial"))</f>
        <v/>
      </c>
    </row>
    <row r="132">
      <c r="A132" s="17">
        <f>IF(TRABAJOS!B132="","",TRABAJOS!A132)</f>
        <v/>
      </c>
      <c r="B132" s="17">
        <f>IF(TRABAJOS!B132="","",TRABAJOS!B132)</f>
        <v/>
      </c>
      <c r="C132" s="17">
        <f>IF(TRABAJOS!B132="","",TRABAJOS!C132)</f>
        <v/>
      </c>
      <c r="D132" s="17">
        <f>IF(TRABAJOS!B132="","",TRABAJOS!E132)</f>
        <v/>
      </c>
      <c r="E132" s="18">
        <f>IF(TRABAJOS!B132="","",TRABAJOS!I132)</f>
        <v/>
      </c>
      <c r="F132" s="18">
        <f>IF(TRABAJOS!B132="","",TRABAJOS!K132)</f>
        <v/>
      </c>
      <c r="G132" s="18">
        <f>IF(TRABAJOS!B132="","",TRABAJOS!L132)</f>
        <v/>
      </c>
      <c r="H132" s="17">
        <f>IF(TRABAJOS!B132="","",IF(TRABAJOS!L132&lt;=0,"Liquidado","Parcial"))</f>
        <v/>
      </c>
    </row>
    <row r="133">
      <c r="A133" s="15">
        <f>IF(TRABAJOS!B133="","",TRABAJOS!A133)</f>
        <v/>
      </c>
      <c r="B133" s="15">
        <f>IF(TRABAJOS!B133="","",TRABAJOS!B133)</f>
        <v/>
      </c>
      <c r="C133" s="15">
        <f>IF(TRABAJOS!B133="","",TRABAJOS!C133)</f>
        <v/>
      </c>
      <c r="D133" s="15">
        <f>IF(TRABAJOS!B133="","",TRABAJOS!E133)</f>
        <v/>
      </c>
      <c r="E133" s="16">
        <f>IF(TRABAJOS!B133="","",TRABAJOS!I133)</f>
        <v/>
      </c>
      <c r="F133" s="16">
        <f>IF(TRABAJOS!B133="","",TRABAJOS!K133)</f>
        <v/>
      </c>
      <c r="G133" s="16">
        <f>IF(TRABAJOS!B133="","",TRABAJOS!L133)</f>
        <v/>
      </c>
      <c r="H133" s="15">
        <f>IF(TRABAJOS!B133="","",IF(TRABAJOS!L133&lt;=0,"Liquidado","Parcial"))</f>
        <v/>
      </c>
    </row>
    <row r="134">
      <c r="A134" s="17">
        <f>IF(TRABAJOS!B134="","",TRABAJOS!A134)</f>
        <v/>
      </c>
      <c r="B134" s="17">
        <f>IF(TRABAJOS!B134="","",TRABAJOS!B134)</f>
        <v/>
      </c>
      <c r="C134" s="17">
        <f>IF(TRABAJOS!B134="","",TRABAJOS!C134)</f>
        <v/>
      </c>
      <c r="D134" s="17">
        <f>IF(TRABAJOS!B134="","",TRABAJOS!E134)</f>
        <v/>
      </c>
      <c r="E134" s="18">
        <f>IF(TRABAJOS!B134="","",TRABAJOS!I134)</f>
        <v/>
      </c>
      <c r="F134" s="18">
        <f>IF(TRABAJOS!B134="","",TRABAJOS!K134)</f>
        <v/>
      </c>
      <c r="G134" s="18">
        <f>IF(TRABAJOS!B134="","",TRABAJOS!L134)</f>
        <v/>
      </c>
      <c r="H134" s="17">
        <f>IF(TRABAJOS!B134="","",IF(TRABAJOS!L134&lt;=0,"Liquidado","Parcial"))</f>
        <v/>
      </c>
    </row>
    <row r="135">
      <c r="A135" s="15">
        <f>IF(TRABAJOS!B135="","",TRABAJOS!A135)</f>
        <v/>
      </c>
      <c r="B135" s="15">
        <f>IF(TRABAJOS!B135="","",TRABAJOS!B135)</f>
        <v/>
      </c>
      <c r="C135" s="15">
        <f>IF(TRABAJOS!B135="","",TRABAJOS!C135)</f>
        <v/>
      </c>
      <c r="D135" s="15">
        <f>IF(TRABAJOS!B135="","",TRABAJOS!E135)</f>
        <v/>
      </c>
      <c r="E135" s="16">
        <f>IF(TRABAJOS!B135="","",TRABAJOS!I135)</f>
        <v/>
      </c>
      <c r="F135" s="16">
        <f>IF(TRABAJOS!B135="","",TRABAJOS!K135)</f>
        <v/>
      </c>
      <c r="G135" s="16">
        <f>IF(TRABAJOS!B135="","",TRABAJOS!L135)</f>
        <v/>
      </c>
      <c r="H135" s="15">
        <f>IF(TRABAJOS!B135="","",IF(TRABAJOS!L135&lt;=0,"Liquidado","Parcial"))</f>
        <v/>
      </c>
    </row>
    <row r="136">
      <c r="A136" s="17">
        <f>IF(TRABAJOS!B136="","",TRABAJOS!A136)</f>
        <v/>
      </c>
      <c r="B136" s="17">
        <f>IF(TRABAJOS!B136="","",TRABAJOS!B136)</f>
        <v/>
      </c>
      <c r="C136" s="17">
        <f>IF(TRABAJOS!B136="","",TRABAJOS!C136)</f>
        <v/>
      </c>
      <c r="D136" s="17">
        <f>IF(TRABAJOS!B136="","",TRABAJOS!E136)</f>
        <v/>
      </c>
      <c r="E136" s="18">
        <f>IF(TRABAJOS!B136="","",TRABAJOS!I136)</f>
        <v/>
      </c>
      <c r="F136" s="18">
        <f>IF(TRABAJOS!B136="","",TRABAJOS!K136)</f>
        <v/>
      </c>
      <c r="G136" s="18">
        <f>IF(TRABAJOS!B136="","",TRABAJOS!L136)</f>
        <v/>
      </c>
      <c r="H136" s="17">
        <f>IF(TRABAJOS!B136="","",IF(TRABAJOS!L136&lt;=0,"Liquidado","Parcial"))</f>
        <v/>
      </c>
    </row>
    <row r="137">
      <c r="A137" s="15">
        <f>IF(TRABAJOS!B137="","",TRABAJOS!A137)</f>
        <v/>
      </c>
      <c r="B137" s="15">
        <f>IF(TRABAJOS!B137="","",TRABAJOS!B137)</f>
        <v/>
      </c>
      <c r="C137" s="15">
        <f>IF(TRABAJOS!B137="","",TRABAJOS!C137)</f>
        <v/>
      </c>
      <c r="D137" s="15">
        <f>IF(TRABAJOS!B137="","",TRABAJOS!E137)</f>
        <v/>
      </c>
      <c r="E137" s="16">
        <f>IF(TRABAJOS!B137="","",TRABAJOS!I137)</f>
        <v/>
      </c>
      <c r="F137" s="16">
        <f>IF(TRABAJOS!B137="","",TRABAJOS!K137)</f>
        <v/>
      </c>
      <c r="G137" s="16">
        <f>IF(TRABAJOS!B137="","",TRABAJOS!L137)</f>
        <v/>
      </c>
      <c r="H137" s="15">
        <f>IF(TRABAJOS!B137="","",IF(TRABAJOS!L137&lt;=0,"Liquidado","Parcial"))</f>
        <v/>
      </c>
    </row>
    <row r="138">
      <c r="A138" s="17">
        <f>IF(TRABAJOS!B138="","",TRABAJOS!A138)</f>
        <v/>
      </c>
      <c r="B138" s="17">
        <f>IF(TRABAJOS!B138="","",TRABAJOS!B138)</f>
        <v/>
      </c>
      <c r="C138" s="17">
        <f>IF(TRABAJOS!B138="","",TRABAJOS!C138)</f>
        <v/>
      </c>
      <c r="D138" s="17">
        <f>IF(TRABAJOS!B138="","",TRABAJOS!E138)</f>
        <v/>
      </c>
      <c r="E138" s="18">
        <f>IF(TRABAJOS!B138="","",TRABAJOS!I138)</f>
        <v/>
      </c>
      <c r="F138" s="18">
        <f>IF(TRABAJOS!B138="","",TRABAJOS!K138)</f>
        <v/>
      </c>
      <c r="G138" s="18">
        <f>IF(TRABAJOS!B138="","",TRABAJOS!L138)</f>
        <v/>
      </c>
      <c r="H138" s="17">
        <f>IF(TRABAJOS!B138="","",IF(TRABAJOS!L138&lt;=0,"Liquidado","Parcial"))</f>
        <v/>
      </c>
    </row>
    <row r="139">
      <c r="A139" s="15">
        <f>IF(TRABAJOS!B139="","",TRABAJOS!A139)</f>
        <v/>
      </c>
      <c r="B139" s="15">
        <f>IF(TRABAJOS!B139="","",TRABAJOS!B139)</f>
        <v/>
      </c>
      <c r="C139" s="15">
        <f>IF(TRABAJOS!B139="","",TRABAJOS!C139)</f>
        <v/>
      </c>
      <c r="D139" s="15">
        <f>IF(TRABAJOS!B139="","",TRABAJOS!E139)</f>
        <v/>
      </c>
      <c r="E139" s="16">
        <f>IF(TRABAJOS!B139="","",TRABAJOS!I139)</f>
        <v/>
      </c>
      <c r="F139" s="16">
        <f>IF(TRABAJOS!B139="","",TRABAJOS!K139)</f>
        <v/>
      </c>
      <c r="G139" s="16">
        <f>IF(TRABAJOS!B139="","",TRABAJOS!L139)</f>
        <v/>
      </c>
      <c r="H139" s="15">
        <f>IF(TRABAJOS!B139="","",IF(TRABAJOS!L139&lt;=0,"Liquidado","Parcial"))</f>
        <v/>
      </c>
    </row>
    <row r="140">
      <c r="A140" s="17">
        <f>IF(TRABAJOS!B140="","",TRABAJOS!A140)</f>
        <v/>
      </c>
      <c r="B140" s="17">
        <f>IF(TRABAJOS!B140="","",TRABAJOS!B140)</f>
        <v/>
      </c>
      <c r="C140" s="17">
        <f>IF(TRABAJOS!B140="","",TRABAJOS!C140)</f>
        <v/>
      </c>
      <c r="D140" s="17">
        <f>IF(TRABAJOS!B140="","",TRABAJOS!E140)</f>
        <v/>
      </c>
      <c r="E140" s="18">
        <f>IF(TRABAJOS!B140="","",TRABAJOS!I140)</f>
        <v/>
      </c>
      <c r="F140" s="18">
        <f>IF(TRABAJOS!B140="","",TRABAJOS!K140)</f>
        <v/>
      </c>
      <c r="G140" s="18">
        <f>IF(TRABAJOS!B140="","",TRABAJOS!L140)</f>
        <v/>
      </c>
      <c r="H140" s="17">
        <f>IF(TRABAJOS!B140="","",IF(TRABAJOS!L140&lt;=0,"Liquidado","Parcial"))</f>
        <v/>
      </c>
    </row>
    <row r="141">
      <c r="A141" s="15">
        <f>IF(TRABAJOS!B141="","",TRABAJOS!A141)</f>
        <v/>
      </c>
      <c r="B141" s="15">
        <f>IF(TRABAJOS!B141="","",TRABAJOS!B141)</f>
        <v/>
      </c>
      <c r="C141" s="15">
        <f>IF(TRABAJOS!B141="","",TRABAJOS!C141)</f>
        <v/>
      </c>
      <c r="D141" s="15">
        <f>IF(TRABAJOS!B141="","",TRABAJOS!E141)</f>
        <v/>
      </c>
      <c r="E141" s="16">
        <f>IF(TRABAJOS!B141="","",TRABAJOS!I141)</f>
        <v/>
      </c>
      <c r="F141" s="16">
        <f>IF(TRABAJOS!B141="","",TRABAJOS!K141)</f>
        <v/>
      </c>
      <c r="G141" s="16">
        <f>IF(TRABAJOS!B141="","",TRABAJOS!L141)</f>
        <v/>
      </c>
      <c r="H141" s="15">
        <f>IF(TRABAJOS!B141="","",IF(TRABAJOS!L141&lt;=0,"Liquidado","Parcial"))</f>
        <v/>
      </c>
    </row>
    <row r="142">
      <c r="A142" s="17">
        <f>IF(TRABAJOS!B142="","",TRABAJOS!A142)</f>
        <v/>
      </c>
      <c r="B142" s="17">
        <f>IF(TRABAJOS!B142="","",TRABAJOS!B142)</f>
        <v/>
      </c>
      <c r="C142" s="17">
        <f>IF(TRABAJOS!B142="","",TRABAJOS!C142)</f>
        <v/>
      </c>
      <c r="D142" s="17">
        <f>IF(TRABAJOS!B142="","",TRABAJOS!E142)</f>
        <v/>
      </c>
      <c r="E142" s="18">
        <f>IF(TRABAJOS!B142="","",TRABAJOS!I142)</f>
        <v/>
      </c>
      <c r="F142" s="18">
        <f>IF(TRABAJOS!B142="","",TRABAJOS!K142)</f>
        <v/>
      </c>
      <c r="G142" s="18">
        <f>IF(TRABAJOS!B142="","",TRABAJOS!L142)</f>
        <v/>
      </c>
      <c r="H142" s="17">
        <f>IF(TRABAJOS!B142="","",IF(TRABAJOS!L142&lt;=0,"Liquidado","Parcial"))</f>
        <v/>
      </c>
    </row>
    <row r="143">
      <c r="A143" s="15">
        <f>IF(TRABAJOS!B143="","",TRABAJOS!A143)</f>
        <v/>
      </c>
      <c r="B143" s="15">
        <f>IF(TRABAJOS!B143="","",TRABAJOS!B143)</f>
        <v/>
      </c>
      <c r="C143" s="15">
        <f>IF(TRABAJOS!B143="","",TRABAJOS!C143)</f>
        <v/>
      </c>
      <c r="D143" s="15">
        <f>IF(TRABAJOS!B143="","",TRABAJOS!E143)</f>
        <v/>
      </c>
      <c r="E143" s="16">
        <f>IF(TRABAJOS!B143="","",TRABAJOS!I143)</f>
        <v/>
      </c>
      <c r="F143" s="16">
        <f>IF(TRABAJOS!B143="","",TRABAJOS!K143)</f>
        <v/>
      </c>
      <c r="G143" s="16">
        <f>IF(TRABAJOS!B143="","",TRABAJOS!L143)</f>
        <v/>
      </c>
      <c r="H143" s="15">
        <f>IF(TRABAJOS!B143="","",IF(TRABAJOS!L143&lt;=0,"Liquidado","Parcial"))</f>
        <v/>
      </c>
    </row>
    <row r="144">
      <c r="A144" s="17">
        <f>IF(TRABAJOS!B144="","",TRABAJOS!A144)</f>
        <v/>
      </c>
      <c r="B144" s="17">
        <f>IF(TRABAJOS!B144="","",TRABAJOS!B144)</f>
        <v/>
      </c>
      <c r="C144" s="17">
        <f>IF(TRABAJOS!B144="","",TRABAJOS!C144)</f>
        <v/>
      </c>
      <c r="D144" s="17">
        <f>IF(TRABAJOS!B144="","",TRABAJOS!E144)</f>
        <v/>
      </c>
      <c r="E144" s="18">
        <f>IF(TRABAJOS!B144="","",TRABAJOS!I144)</f>
        <v/>
      </c>
      <c r="F144" s="18">
        <f>IF(TRABAJOS!B144="","",TRABAJOS!K144)</f>
        <v/>
      </c>
      <c r="G144" s="18">
        <f>IF(TRABAJOS!B144="","",TRABAJOS!L144)</f>
        <v/>
      </c>
      <c r="H144" s="17">
        <f>IF(TRABAJOS!B144="","",IF(TRABAJOS!L144&lt;=0,"Liquidado","Parcial"))</f>
        <v/>
      </c>
    </row>
    <row r="145">
      <c r="A145" s="15">
        <f>IF(TRABAJOS!B145="","",TRABAJOS!A145)</f>
        <v/>
      </c>
      <c r="B145" s="15">
        <f>IF(TRABAJOS!B145="","",TRABAJOS!B145)</f>
        <v/>
      </c>
      <c r="C145" s="15">
        <f>IF(TRABAJOS!B145="","",TRABAJOS!C145)</f>
        <v/>
      </c>
      <c r="D145" s="15">
        <f>IF(TRABAJOS!B145="","",TRABAJOS!E145)</f>
        <v/>
      </c>
      <c r="E145" s="16">
        <f>IF(TRABAJOS!B145="","",TRABAJOS!I145)</f>
        <v/>
      </c>
      <c r="F145" s="16">
        <f>IF(TRABAJOS!B145="","",TRABAJOS!K145)</f>
        <v/>
      </c>
      <c r="G145" s="16">
        <f>IF(TRABAJOS!B145="","",TRABAJOS!L145)</f>
        <v/>
      </c>
      <c r="H145" s="15">
        <f>IF(TRABAJOS!B145="","",IF(TRABAJOS!L145&lt;=0,"Liquidado","Parcial"))</f>
        <v/>
      </c>
    </row>
    <row r="146">
      <c r="A146" s="17">
        <f>IF(TRABAJOS!B146="","",TRABAJOS!A146)</f>
        <v/>
      </c>
      <c r="B146" s="17">
        <f>IF(TRABAJOS!B146="","",TRABAJOS!B146)</f>
        <v/>
      </c>
      <c r="C146" s="17">
        <f>IF(TRABAJOS!B146="","",TRABAJOS!C146)</f>
        <v/>
      </c>
      <c r="D146" s="17">
        <f>IF(TRABAJOS!B146="","",TRABAJOS!E146)</f>
        <v/>
      </c>
      <c r="E146" s="18">
        <f>IF(TRABAJOS!B146="","",TRABAJOS!I146)</f>
        <v/>
      </c>
      <c r="F146" s="18">
        <f>IF(TRABAJOS!B146="","",TRABAJOS!K146)</f>
        <v/>
      </c>
      <c r="G146" s="18">
        <f>IF(TRABAJOS!B146="","",TRABAJOS!L146)</f>
        <v/>
      </c>
      <c r="H146" s="17">
        <f>IF(TRABAJOS!B146="","",IF(TRABAJOS!L146&lt;=0,"Liquidado","Parcial"))</f>
        <v/>
      </c>
    </row>
    <row r="147">
      <c r="A147" s="15">
        <f>IF(TRABAJOS!B147="","",TRABAJOS!A147)</f>
        <v/>
      </c>
      <c r="B147" s="15">
        <f>IF(TRABAJOS!B147="","",TRABAJOS!B147)</f>
        <v/>
      </c>
      <c r="C147" s="15">
        <f>IF(TRABAJOS!B147="","",TRABAJOS!C147)</f>
        <v/>
      </c>
      <c r="D147" s="15">
        <f>IF(TRABAJOS!B147="","",TRABAJOS!E147)</f>
        <v/>
      </c>
      <c r="E147" s="16">
        <f>IF(TRABAJOS!B147="","",TRABAJOS!I147)</f>
        <v/>
      </c>
      <c r="F147" s="16">
        <f>IF(TRABAJOS!B147="","",TRABAJOS!K147)</f>
        <v/>
      </c>
      <c r="G147" s="16">
        <f>IF(TRABAJOS!B147="","",TRABAJOS!L147)</f>
        <v/>
      </c>
      <c r="H147" s="15">
        <f>IF(TRABAJOS!B147="","",IF(TRABAJOS!L147&lt;=0,"Liquidado","Parcial"))</f>
        <v/>
      </c>
    </row>
    <row r="148">
      <c r="A148" s="17">
        <f>IF(TRABAJOS!B148="","",TRABAJOS!A148)</f>
        <v/>
      </c>
      <c r="B148" s="17">
        <f>IF(TRABAJOS!B148="","",TRABAJOS!B148)</f>
        <v/>
      </c>
      <c r="C148" s="17">
        <f>IF(TRABAJOS!B148="","",TRABAJOS!C148)</f>
        <v/>
      </c>
      <c r="D148" s="17">
        <f>IF(TRABAJOS!B148="","",TRABAJOS!E148)</f>
        <v/>
      </c>
      <c r="E148" s="18">
        <f>IF(TRABAJOS!B148="","",TRABAJOS!I148)</f>
        <v/>
      </c>
      <c r="F148" s="18">
        <f>IF(TRABAJOS!B148="","",TRABAJOS!K148)</f>
        <v/>
      </c>
      <c r="G148" s="18">
        <f>IF(TRABAJOS!B148="","",TRABAJOS!L148)</f>
        <v/>
      </c>
      <c r="H148" s="17">
        <f>IF(TRABAJOS!B148="","",IF(TRABAJOS!L148&lt;=0,"Liquidado","Parcial"))</f>
        <v/>
      </c>
    </row>
    <row r="149">
      <c r="A149" s="15">
        <f>IF(TRABAJOS!B149="","",TRABAJOS!A149)</f>
        <v/>
      </c>
      <c r="B149" s="15">
        <f>IF(TRABAJOS!B149="","",TRABAJOS!B149)</f>
        <v/>
      </c>
      <c r="C149" s="15">
        <f>IF(TRABAJOS!B149="","",TRABAJOS!C149)</f>
        <v/>
      </c>
      <c r="D149" s="15">
        <f>IF(TRABAJOS!B149="","",TRABAJOS!E149)</f>
        <v/>
      </c>
      <c r="E149" s="16">
        <f>IF(TRABAJOS!B149="","",TRABAJOS!I149)</f>
        <v/>
      </c>
      <c r="F149" s="16">
        <f>IF(TRABAJOS!B149="","",TRABAJOS!K149)</f>
        <v/>
      </c>
      <c r="G149" s="16">
        <f>IF(TRABAJOS!B149="","",TRABAJOS!L149)</f>
        <v/>
      </c>
      <c r="H149" s="15">
        <f>IF(TRABAJOS!B149="","",IF(TRABAJOS!L149&lt;=0,"Liquidado","Parcial"))</f>
        <v/>
      </c>
    </row>
    <row r="150">
      <c r="A150" s="17">
        <f>IF(TRABAJOS!B150="","",TRABAJOS!A150)</f>
        <v/>
      </c>
      <c r="B150" s="17">
        <f>IF(TRABAJOS!B150="","",TRABAJOS!B150)</f>
        <v/>
      </c>
      <c r="C150" s="17">
        <f>IF(TRABAJOS!B150="","",TRABAJOS!C150)</f>
        <v/>
      </c>
      <c r="D150" s="17">
        <f>IF(TRABAJOS!B150="","",TRABAJOS!E150)</f>
        <v/>
      </c>
      <c r="E150" s="18">
        <f>IF(TRABAJOS!B150="","",TRABAJOS!I150)</f>
        <v/>
      </c>
      <c r="F150" s="18">
        <f>IF(TRABAJOS!B150="","",TRABAJOS!K150)</f>
        <v/>
      </c>
      <c r="G150" s="18">
        <f>IF(TRABAJOS!B150="","",TRABAJOS!L150)</f>
        <v/>
      </c>
      <c r="H150" s="17">
        <f>IF(TRABAJOS!B150="","",IF(TRABAJOS!L150&lt;=0,"Liquidado","Parcial"))</f>
        <v/>
      </c>
    </row>
    <row r="151">
      <c r="A151" s="15">
        <f>IF(TRABAJOS!B151="","",TRABAJOS!A151)</f>
        <v/>
      </c>
      <c r="B151" s="15">
        <f>IF(TRABAJOS!B151="","",TRABAJOS!B151)</f>
        <v/>
      </c>
      <c r="C151" s="15">
        <f>IF(TRABAJOS!B151="","",TRABAJOS!C151)</f>
        <v/>
      </c>
      <c r="D151" s="15">
        <f>IF(TRABAJOS!B151="","",TRABAJOS!E151)</f>
        <v/>
      </c>
      <c r="E151" s="16">
        <f>IF(TRABAJOS!B151="","",TRABAJOS!I151)</f>
        <v/>
      </c>
      <c r="F151" s="16">
        <f>IF(TRABAJOS!B151="","",TRABAJOS!K151)</f>
        <v/>
      </c>
      <c r="G151" s="16">
        <f>IF(TRABAJOS!B151="","",TRABAJOS!L151)</f>
        <v/>
      </c>
      <c r="H151" s="15">
        <f>IF(TRABAJOS!B151="","",IF(TRABAJOS!L151&lt;=0,"Liquidado","Parcial"))</f>
        <v/>
      </c>
    </row>
    <row r="152">
      <c r="A152" s="17">
        <f>IF(TRABAJOS!B152="","",TRABAJOS!A152)</f>
        <v/>
      </c>
      <c r="B152" s="17">
        <f>IF(TRABAJOS!B152="","",TRABAJOS!B152)</f>
        <v/>
      </c>
      <c r="C152" s="17">
        <f>IF(TRABAJOS!B152="","",TRABAJOS!C152)</f>
        <v/>
      </c>
      <c r="D152" s="17">
        <f>IF(TRABAJOS!B152="","",TRABAJOS!E152)</f>
        <v/>
      </c>
      <c r="E152" s="18">
        <f>IF(TRABAJOS!B152="","",TRABAJOS!I152)</f>
        <v/>
      </c>
      <c r="F152" s="18">
        <f>IF(TRABAJOS!B152="","",TRABAJOS!K152)</f>
        <v/>
      </c>
      <c r="G152" s="18">
        <f>IF(TRABAJOS!B152="","",TRABAJOS!L152)</f>
        <v/>
      </c>
      <c r="H152" s="17">
        <f>IF(TRABAJOS!B152="","",IF(TRABAJOS!L152&lt;=0,"Liquidado","Parcial"))</f>
        <v/>
      </c>
    </row>
    <row r="153">
      <c r="A153" s="15">
        <f>IF(TRABAJOS!B153="","",TRABAJOS!A153)</f>
        <v/>
      </c>
      <c r="B153" s="15">
        <f>IF(TRABAJOS!B153="","",TRABAJOS!B153)</f>
        <v/>
      </c>
      <c r="C153" s="15">
        <f>IF(TRABAJOS!B153="","",TRABAJOS!C153)</f>
        <v/>
      </c>
      <c r="D153" s="15">
        <f>IF(TRABAJOS!B153="","",TRABAJOS!E153)</f>
        <v/>
      </c>
      <c r="E153" s="16">
        <f>IF(TRABAJOS!B153="","",TRABAJOS!I153)</f>
        <v/>
      </c>
      <c r="F153" s="16">
        <f>IF(TRABAJOS!B153="","",TRABAJOS!K153)</f>
        <v/>
      </c>
      <c r="G153" s="16">
        <f>IF(TRABAJOS!B153="","",TRABAJOS!L153)</f>
        <v/>
      </c>
      <c r="H153" s="15">
        <f>IF(TRABAJOS!B153="","",IF(TRABAJOS!L153&lt;=0,"Liquidado","Parcial"))</f>
        <v/>
      </c>
    </row>
    <row r="154">
      <c r="A154" s="17">
        <f>IF(TRABAJOS!B154="","",TRABAJOS!A154)</f>
        <v/>
      </c>
      <c r="B154" s="17">
        <f>IF(TRABAJOS!B154="","",TRABAJOS!B154)</f>
        <v/>
      </c>
      <c r="C154" s="17">
        <f>IF(TRABAJOS!B154="","",TRABAJOS!C154)</f>
        <v/>
      </c>
      <c r="D154" s="17">
        <f>IF(TRABAJOS!B154="","",TRABAJOS!E154)</f>
        <v/>
      </c>
      <c r="E154" s="18">
        <f>IF(TRABAJOS!B154="","",TRABAJOS!I154)</f>
        <v/>
      </c>
      <c r="F154" s="18">
        <f>IF(TRABAJOS!B154="","",TRABAJOS!K154)</f>
        <v/>
      </c>
      <c r="G154" s="18">
        <f>IF(TRABAJOS!B154="","",TRABAJOS!L154)</f>
        <v/>
      </c>
      <c r="H154" s="17">
        <f>IF(TRABAJOS!B154="","",IF(TRABAJOS!L154&lt;=0,"Liquidado","Parcial"))</f>
        <v/>
      </c>
    </row>
    <row r="155">
      <c r="A155" s="15">
        <f>IF(TRABAJOS!B155="","",TRABAJOS!A155)</f>
        <v/>
      </c>
      <c r="B155" s="15">
        <f>IF(TRABAJOS!B155="","",TRABAJOS!B155)</f>
        <v/>
      </c>
      <c r="C155" s="15">
        <f>IF(TRABAJOS!B155="","",TRABAJOS!C155)</f>
        <v/>
      </c>
      <c r="D155" s="15">
        <f>IF(TRABAJOS!B155="","",TRABAJOS!E155)</f>
        <v/>
      </c>
      <c r="E155" s="16">
        <f>IF(TRABAJOS!B155="","",TRABAJOS!I155)</f>
        <v/>
      </c>
      <c r="F155" s="16">
        <f>IF(TRABAJOS!B155="","",TRABAJOS!K155)</f>
        <v/>
      </c>
      <c r="G155" s="16">
        <f>IF(TRABAJOS!B155="","",TRABAJOS!L155)</f>
        <v/>
      </c>
      <c r="H155" s="15">
        <f>IF(TRABAJOS!B155="","",IF(TRABAJOS!L155&lt;=0,"Liquidado","Parcial"))</f>
        <v/>
      </c>
    </row>
    <row r="156">
      <c r="A156" s="17">
        <f>IF(TRABAJOS!B156="","",TRABAJOS!A156)</f>
        <v/>
      </c>
      <c r="B156" s="17">
        <f>IF(TRABAJOS!B156="","",TRABAJOS!B156)</f>
        <v/>
      </c>
      <c r="C156" s="17">
        <f>IF(TRABAJOS!B156="","",TRABAJOS!C156)</f>
        <v/>
      </c>
      <c r="D156" s="17">
        <f>IF(TRABAJOS!B156="","",TRABAJOS!E156)</f>
        <v/>
      </c>
      <c r="E156" s="18">
        <f>IF(TRABAJOS!B156="","",TRABAJOS!I156)</f>
        <v/>
      </c>
      <c r="F156" s="18">
        <f>IF(TRABAJOS!B156="","",TRABAJOS!K156)</f>
        <v/>
      </c>
      <c r="G156" s="18">
        <f>IF(TRABAJOS!B156="","",TRABAJOS!L156)</f>
        <v/>
      </c>
      <c r="H156" s="17">
        <f>IF(TRABAJOS!B156="","",IF(TRABAJOS!L156&lt;=0,"Liquidado","Parcial"))</f>
        <v/>
      </c>
    </row>
    <row r="157">
      <c r="A157" s="15">
        <f>IF(TRABAJOS!B157="","",TRABAJOS!A157)</f>
        <v/>
      </c>
      <c r="B157" s="15">
        <f>IF(TRABAJOS!B157="","",TRABAJOS!B157)</f>
        <v/>
      </c>
      <c r="C157" s="15">
        <f>IF(TRABAJOS!B157="","",TRABAJOS!C157)</f>
        <v/>
      </c>
      <c r="D157" s="15">
        <f>IF(TRABAJOS!B157="","",TRABAJOS!E157)</f>
        <v/>
      </c>
      <c r="E157" s="16">
        <f>IF(TRABAJOS!B157="","",TRABAJOS!I157)</f>
        <v/>
      </c>
      <c r="F157" s="16">
        <f>IF(TRABAJOS!B157="","",TRABAJOS!K157)</f>
        <v/>
      </c>
      <c r="G157" s="16">
        <f>IF(TRABAJOS!B157="","",TRABAJOS!L157)</f>
        <v/>
      </c>
      <c r="H157" s="15">
        <f>IF(TRABAJOS!B157="","",IF(TRABAJOS!L157&lt;=0,"Liquidado","Parcial"))</f>
        <v/>
      </c>
    </row>
    <row r="158">
      <c r="A158" s="17">
        <f>IF(TRABAJOS!B158="","",TRABAJOS!A158)</f>
        <v/>
      </c>
      <c r="B158" s="17">
        <f>IF(TRABAJOS!B158="","",TRABAJOS!B158)</f>
        <v/>
      </c>
      <c r="C158" s="17">
        <f>IF(TRABAJOS!B158="","",TRABAJOS!C158)</f>
        <v/>
      </c>
      <c r="D158" s="17">
        <f>IF(TRABAJOS!B158="","",TRABAJOS!E158)</f>
        <v/>
      </c>
      <c r="E158" s="18">
        <f>IF(TRABAJOS!B158="","",TRABAJOS!I158)</f>
        <v/>
      </c>
      <c r="F158" s="18">
        <f>IF(TRABAJOS!B158="","",TRABAJOS!K158)</f>
        <v/>
      </c>
      <c r="G158" s="18">
        <f>IF(TRABAJOS!B158="","",TRABAJOS!L158)</f>
        <v/>
      </c>
      <c r="H158" s="17">
        <f>IF(TRABAJOS!B158="","",IF(TRABAJOS!L158&lt;=0,"Liquidado","Parcial"))</f>
        <v/>
      </c>
    </row>
    <row r="159">
      <c r="A159" s="15">
        <f>IF(TRABAJOS!B159="","",TRABAJOS!A159)</f>
        <v/>
      </c>
      <c r="B159" s="15">
        <f>IF(TRABAJOS!B159="","",TRABAJOS!B159)</f>
        <v/>
      </c>
      <c r="C159" s="15">
        <f>IF(TRABAJOS!B159="","",TRABAJOS!C159)</f>
        <v/>
      </c>
      <c r="D159" s="15">
        <f>IF(TRABAJOS!B159="","",TRABAJOS!E159)</f>
        <v/>
      </c>
      <c r="E159" s="16">
        <f>IF(TRABAJOS!B159="","",TRABAJOS!I159)</f>
        <v/>
      </c>
      <c r="F159" s="16">
        <f>IF(TRABAJOS!B159="","",TRABAJOS!K159)</f>
        <v/>
      </c>
      <c r="G159" s="16">
        <f>IF(TRABAJOS!B159="","",TRABAJOS!L159)</f>
        <v/>
      </c>
      <c r="H159" s="15">
        <f>IF(TRABAJOS!B159="","",IF(TRABAJOS!L159&lt;=0,"Liquidado","Parcial"))</f>
        <v/>
      </c>
    </row>
    <row r="160">
      <c r="A160" s="17">
        <f>IF(TRABAJOS!B160="","",TRABAJOS!A160)</f>
        <v/>
      </c>
      <c r="B160" s="17">
        <f>IF(TRABAJOS!B160="","",TRABAJOS!B160)</f>
        <v/>
      </c>
      <c r="C160" s="17">
        <f>IF(TRABAJOS!B160="","",TRABAJOS!C160)</f>
        <v/>
      </c>
      <c r="D160" s="17">
        <f>IF(TRABAJOS!B160="","",TRABAJOS!E160)</f>
        <v/>
      </c>
      <c r="E160" s="18">
        <f>IF(TRABAJOS!B160="","",TRABAJOS!I160)</f>
        <v/>
      </c>
      <c r="F160" s="18">
        <f>IF(TRABAJOS!B160="","",TRABAJOS!K160)</f>
        <v/>
      </c>
      <c r="G160" s="18">
        <f>IF(TRABAJOS!B160="","",TRABAJOS!L160)</f>
        <v/>
      </c>
      <c r="H160" s="17">
        <f>IF(TRABAJOS!B160="","",IF(TRABAJOS!L160&lt;=0,"Liquidado","Parcial"))</f>
        <v/>
      </c>
    </row>
    <row r="161">
      <c r="A161" s="15">
        <f>IF(TRABAJOS!B161="","",TRABAJOS!A161)</f>
        <v/>
      </c>
      <c r="B161" s="15">
        <f>IF(TRABAJOS!B161="","",TRABAJOS!B161)</f>
        <v/>
      </c>
      <c r="C161" s="15">
        <f>IF(TRABAJOS!B161="","",TRABAJOS!C161)</f>
        <v/>
      </c>
      <c r="D161" s="15">
        <f>IF(TRABAJOS!B161="","",TRABAJOS!E161)</f>
        <v/>
      </c>
      <c r="E161" s="16">
        <f>IF(TRABAJOS!B161="","",TRABAJOS!I161)</f>
        <v/>
      </c>
      <c r="F161" s="16">
        <f>IF(TRABAJOS!B161="","",TRABAJOS!K161)</f>
        <v/>
      </c>
      <c r="G161" s="16">
        <f>IF(TRABAJOS!B161="","",TRABAJOS!L161)</f>
        <v/>
      </c>
      <c r="H161" s="15">
        <f>IF(TRABAJOS!B161="","",IF(TRABAJOS!L161&lt;=0,"Liquidado","Parcial"))</f>
        <v/>
      </c>
    </row>
    <row r="162">
      <c r="A162" s="17">
        <f>IF(TRABAJOS!B162="","",TRABAJOS!A162)</f>
        <v/>
      </c>
      <c r="B162" s="17">
        <f>IF(TRABAJOS!B162="","",TRABAJOS!B162)</f>
        <v/>
      </c>
      <c r="C162" s="17">
        <f>IF(TRABAJOS!B162="","",TRABAJOS!C162)</f>
        <v/>
      </c>
      <c r="D162" s="17">
        <f>IF(TRABAJOS!B162="","",TRABAJOS!E162)</f>
        <v/>
      </c>
      <c r="E162" s="18">
        <f>IF(TRABAJOS!B162="","",TRABAJOS!I162)</f>
        <v/>
      </c>
      <c r="F162" s="18">
        <f>IF(TRABAJOS!B162="","",TRABAJOS!K162)</f>
        <v/>
      </c>
      <c r="G162" s="18">
        <f>IF(TRABAJOS!B162="","",TRABAJOS!L162)</f>
        <v/>
      </c>
      <c r="H162" s="17">
        <f>IF(TRABAJOS!B162="","",IF(TRABAJOS!L162&lt;=0,"Liquidado","Parcial"))</f>
        <v/>
      </c>
    </row>
    <row r="163">
      <c r="A163" s="15">
        <f>IF(TRABAJOS!B163="","",TRABAJOS!A163)</f>
        <v/>
      </c>
      <c r="B163" s="15">
        <f>IF(TRABAJOS!B163="","",TRABAJOS!B163)</f>
        <v/>
      </c>
      <c r="C163" s="15">
        <f>IF(TRABAJOS!B163="","",TRABAJOS!C163)</f>
        <v/>
      </c>
      <c r="D163" s="15">
        <f>IF(TRABAJOS!B163="","",TRABAJOS!E163)</f>
        <v/>
      </c>
      <c r="E163" s="16">
        <f>IF(TRABAJOS!B163="","",TRABAJOS!I163)</f>
        <v/>
      </c>
      <c r="F163" s="16">
        <f>IF(TRABAJOS!B163="","",TRABAJOS!K163)</f>
        <v/>
      </c>
      <c r="G163" s="16">
        <f>IF(TRABAJOS!B163="","",TRABAJOS!L163)</f>
        <v/>
      </c>
      <c r="H163" s="15">
        <f>IF(TRABAJOS!B163="","",IF(TRABAJOS!L163&lt;=0,"Liquidado","Parcial"))</f>
        <v/>
      </c>
    </row>
    <row r="164">
      <c r="A164" s="17">
        <f>IF(TRABAJOS!B164="","",TRABAJOS!A164)</f>
        <v/>
      </c>
      <c r="B164" s="17">
        <f>IF(TRABAJOS!B164="","",TRABAJOS!B164)</f>
        <v/>
      </c>
      <c r="C164" s="17">
        <f>IF(TRABAJOS!B164="","",TRABAJOS!C164)</f>
        <v/>
      </c>
      <c r="D164" s="17">
        <f>IF(TRABAJOS!B164="","",TRABAJOS!E164)</f>
        <v/>
      </c>
      <c r="E164" s="18">
        <f>IF(TRABAJOS!B164="","",TRABAJOS!I164)</f>
        <v/>
      </c>
      <c r="F164" s="18">
        <f>IF(TRABAJOS!B164="","",TRABAJOS!K164)</f>
        <v/>
      </c>
      <c r="G164" s="18">
        <f>IF(TRABAJOS!B164="","",TRABAJOS!L164)</f>
        <v/>
      </c>
      <c r="H164" s="17">
        <f>IF(TRABAJOS!B164="","",IF(TRABAJOS!L164&lt;=0,"Liquidado","Parcial"))</f>
        <v/>
      </c>
    </row>
    <row r="165">
      <c r="A165" s="15">
        <f>IF(TRABAJOS!B165="","",TRABAJOS!A165)</f>
        <v/>
      </c>
      <c r="B165" s="15">
        <f>IF(TRABAJOS!B165="","",TRABAJOS!B165)</f>
        <v/>
      </c>
      <c r="C165" s="15">
        <f>IF(TRABAJOS!B165="","",TRABAJOS!C165)</f>
        <v/>
      </c>
      <c r="D165" s="15">
        <f>IF(TRABAJOS!B165="","",TRABAJOS!E165)</f>
        <v/>
      </c>
      <c r="E165" s="16">
        <f>IF(TRABAJOS!B165="","",TRABAJOS!I165)</f>
        <v/>
      </c>
      <c r="F165" s="16">
        <f>IF(TRABAJOS!B165="","",TRABAJOS!K165)</f>
        <v/>
      </c>
      <c r="G165" s="16">
        <f>IF(TRABAJOS!B165="","",TRABAJOS!L165)</f>
        <v/>
      </c>
      <c r="H165" s="15">
        <f>IF(TRABAJOS!B165="","",IF(TRABAJOS!L165&lt;=0,"Liquidado","Parcial"))</f>
        <v/>
      </c>
    </row>
    <row r="166">
      <c r="A166" s="17">
        <f>IF(TRABAJOS!B166="","",TRABAJOS!A166)</f>
        <v/>
      </c>
      <c r="B166" s="17">
        <f>IF(TRABAJOS!B166="","",TRABAJOS!B166)</f>
        <v/>
      </c>
      <c r="C166" s="17">
        <f>IF(TRABAJOS!B166="","",TRABAJOS!C166)</f>
        <v/>
      </c>
      <c r="D166" s="17">
        <f>IF(TRABAJOS!B166="","",TRABAJOS!E166)</f>
        <v/>
      </c>
      <c r="E166" s="18">
        <f>IF(TRABAJOS!B166="","",TRABAJOS!I166)</f>
        <v/>
      </c>
      <c r="F166" s="18">
        <f>IF(TRABAJOS!B166="","",TRABAJOS!K166)</f>
        <v/>
      </c>
      <c r="G166" s="18">
        <f>IF(TRABAJOS!B166="","",TRABAJOS!L166)</f>
        <v/>
      </c>
      <c r="H166" s="17">
        <f>IF(TRABAJOS!B166="","",IF(TRABAJOS!L166&lt;=0,"Liquidado","Parcial"))</f>
        <v/>
      </c>
    </row>
    <row r="167">
      <c r="A167" s="15">
        <f>IF(TRABAJOS!B167="","",TRABAJOS!A167)</f>
        <v/>
      </c>
      <c r="B167" s="15">
        <f>IF(TRABAJOS!B167="","",TRABAJOS!B167)</f>
        <v/>
      </c>
      <c r="C167" s="15">
        <f>IF(TRABAJOS!B167="","",TRABAJOS!C167)</f>
        <v/>
      </c>
      <c r="D167" s="15">
        <f>IF(TRABAJOS!B167="","",TRABAJOS!E167)</f>
        <v/>
      </c>
      <c r="E167" s="16">
        <f>IF(TRABAJOS!B167="","",TRABAJOS!I167)</f>
        <v/>
      </c>
      <c r="F167" s="16">
        <f>IF(TRABAJOS!B167="","",TRABAJOS!K167)</f>
        <v/>
      </c>
      <c r="G167" s="16">
        <f>IF(TRABAJOS!B167="","",TRABAJOS!L167)</f>
        <v/>
      </c>
      <c r="H167" s="15">
        <f>IF(TRABAJOS!B167="","",IF(TRABAJOS!L167&lt;=0,"Liquidado","Parcial"))</f>
        <v/>
      </c>
    </row>
    <row r="168">
      <c r="A168" s="17">
        <f>IF(TRABAJOS!B168="","",TRABAJOS!A168)</f>
        <v/>
      </c>
      <c r="B168" s="17">
        <f>IF(TRABAJOS!B168="","",TRABAJOS!B168)</f>
        <v/>
      </c>
      <c r="C168" s="17">
        <f>IF(TRABAJOS!B168="","",TRABAJOS!C168)</f>
        <v/>
      </c>
      <c r="D168" s="17">
        <f>IF(TRABAJOS!B168="","",TRABAJOS!E168)</f>
        <v/>
      </c>
      <c r="E168" s="18">
        <f>IF(TRABAJOS!B168="","",TRABAJOS!I168)</f>
        <v/>
      </c>
      <c r="F168" s="18">
        <f>IF(TRABAJOS!B168="","",TRABAJOS!K168)</f>
        <v/>
      </c>
      <c r="G168" s="18">
        <f>IF(TRABAJOS!B168="","",TRABAJOS!L168)</f>
        <v/>
      </c>
      <c r="H168" s="17">
        <f>IF(TRABAJOS!B168="","",IF(TRABAJOS!L168&lt;=0,"Liquidado","Parcial"))</f>
        <v/>
      </c>
    </row>
    <row r="169">
      <c r="A169" s="15">
        <f>IF(TRABAJOS!B169="","",TRABAJOS!A169)</f>
        <v/>
      </c>
      <c r="B169" s="15">
        <f>IF(TRABAJOS!B169="","",TRABAJOS!B169)</f>
        <v/>
      </c>
      <c r="C169" s="15">
        <f>IF(TRABAJOS!B169="","",TRABAJOS!C169)</f>
        <v/>
      </c>
      <c r="D169" s="15">
        <f>IF(TRABAJOS!B169="","",TRABAJOS!E169)</f>
        <v/>
      </c>
      <c r="E169" s="16">
        <f>IF(TRABAJOS!B169="","",TRABAJOS!I169)</f>
        <v/>
      </c>
      <c r="F169" s="16">
        <f>IF(TRABAJOS!B169="","",TRABAJOS!K169)</f>
        <v/>
      </c>
      <c r="G169" s="16">
        <f>IF(TRABAJOS!B169="","",TRABAJOS!L169)</f>
        <v/>
      </c>
      <c r="H169" s="15">
        <f>IF(TRABAJOS!B169="","",IF(TRABAJOS!L169&lt;=0,"Liquidado","Parcial"))</f>
        <v/>
      </c>
    </row>
    <row r="170">
      <c r="A170" s="17">
        <f>IF(TRABAJOS!B170="","",TRABAJOS!A170)</f>
        <v/>
      </c>
      <c r="B170" s="17">
        <f>IF(TRABAJOS!B170="","",TRABAJOS!B170)</f>
        <v/>
      </c>
      <c r="C170" s="17">
        <f>IF(TRABAJOS!B170="","",TRABAJOS!C170)</f>
        <v/>
      </c>
      <c r="D170" s="17">
        <f>IF(TRABAJOS!B170="","",TRABAJOS!E170)</f>
        <v/>
      </c>
      <c r="E170" s="18">
        <f>IF(TRABAJOS!B170="","",TRABAJOS!I170)</f>
        <v/>
      </c>
      <c r="F170" s="18">
        <f>IF(TRABAJOS!B170="","",TRABAJOS!K170)</f>
        <v/>
      </c>
      <c r="G170" s="18">
        <f>IF(TRABAJOS!B170="","",TRABAJOS!L170)</f>
        <v/>
      </c>
      <c r="H170" s="17">
        <f>IF(TRABAJOS!B170="","",IF(TRABAJOS!L170&lt;=0,"Liquidado","Parcial"))</f>
        <v/>
      </c>
    </row>
    <row r="171">
      <c r="A171" s="15">
        <f>IF(TRABAJOS!B171="","",TRABAJOS!A171)</f>
        <v/>
      </c>
      <c r="B171" s="15">
        <f>IF(TRABAJOS!B171="","",TRABAJOS!B171)</f>
        <v/>
      </c>
      <c r="C171" s="15">
        <f>IF(TRABAJOS!B171="","",TRABAJOS!C171)</f>
        <v/>
      </c>
      <c r="D171" s="15">
        <f>IF(TRABAJOS!B171="","",TRABAJOS!E171)</f>
        <v/>
      </c>
      <c r="E171" s="16">
        <f>IF(TRABAJOS!B171="","",TRABAJOS!I171)</f>
        <v/>
      </c>
      <c r="F171" s="16">
        <f>IF(TRABAJOS!B171="","",TRABAJOS!K171)</f>
        <v/>
      </c>
      <c r="G171" s="16">
        <f>IF(TRABAJOS!B171="","",TRABAJOS!L171)</f>
        <v/>
      </c>
      <c r="H171" s="15">
        <f>IF(TRABAJOS!B171="","",IF(TRABAJOS!L171&lt;=0,"Liquidado","Parcial"))</f>
        <v/>
      </c>
    </row>
    <row r="172">
      <c r="A172" s="17">
        <f>IF(TRABAJOS!B172="","",TRABAJOS!A172)</f>
        <v/>
      </c>
      <c r="B172" s="17">
        <f>IF(TRABAJOS!B172="","",TRABAJOS!B172)</f>
        <v/>
      </c>
      <c r="C172" s="17">
        <f>IF(TRABAJOS!B172="","",TRABAJOS!C172)</f>
        <v/>
      </c>
      <c r="D172" s="17">
        <f>IF(TRABAJOS!B172="","",TRABAJOS!E172)</f>
        <v/>
      </c>
      <c r="E172" s="18">
        <f>IF(TRABAJOS!B172="","",TRABAJOS!I172)</f>
        <v/>
      </c>
      <c r="F172" s="18">
        <f>IF(TRABAJOS!B172="","",TRABAJOS!K172)</f>
        <v/>
      </c>
      <c r="G172" s="18">
        <f>IF(TRABAJOS!B172="","",TRABAJOS!L172)</f>
        <v/>
      </c>
      <c r="H172" s="17">
        <f>IF(TRABAJOS!B172="","",IF(TRABAJOS!L172&lt;=0,"Liquidado","Parcial"))</f>
        <v/>
      </c>
    </row>
    <row r="173">
      <c r="A173" s="15">
        <f>IF(TRABAJOS!B173="","",TRABAJOS!A173)</f>
        <v/>
      </c>
      <c r="B173" s="15">
        <f>IF(TRABAJOS!B173="","",TRABAJOS!B173)</f>
        <v/>
      </c>
      <c r="C173" s="15">
        <f>IF(TRABAJOS!B173="","",TRABAJOS!C173)</f>
        <v/>
      </c>
      <c r="D173" s="15">
        <f>IF(TRABAJOS!B173="","",TRABAJOS!E173)</f>
        <v/>
      </c>
      <c r="E173" s="16">
        <f>IF(TRABAJOS!B173="","",TRABAJOS!I173)</f>
        <v/>
      </c>
      <c r="F173" s="16">
        <f>IF(TRABAJOS!B173="","",TRABAJOS!K173)</f>
        <v/>
      </c>
      <c r="G173" s="16">
        <f>IF(TRABAJOS!B173="","",TRABAJOS!L173)</f>
        <v/>
      </c>
      <c r="H173" s="15">
        <f>IF(TRABAJOS!B173="","",IF(TRABAJOS!L173&lt;=0,"Liquidado","Parcial"))</f>
        <v/>
      </c>
    </row>
    <row r="174">
      <c r="A174" s="17">
        <f>IF(TRABAJOS!B174="","",TRABAJOS!A174)</f>
        <v/>
      </c>
      <c r="B174" s="17">
        <f>IF(TRABAJOS!B174="","",TRABAJOS!B174)</f>
        <v/>
      </c>
      <c r="C174" s="17">
        <f>IF(TRABAJOS!B174="","",TRABAJOS!C174)</f>
        <v/>
      </c>
      <c r="D174" s="17">
        <f>IF(TRABAJOS!B174="","",TRABAJOS!E174)</f>
        <v/>
      </c>
      <c r="E174" s="18">
        <f>IF(TRABAJOS!B174="","",TRABAJOS!I174)</f>
        <v/>
      </c>
      <c r="F174" s="18">
        <f>IF(TRABAJOS!B174="","",TRABAJOS!K174)</f>
        <v/>
      </c>
      <c r="G174" s="18">
        <f>IF(TRABAJOS!B174="","",TRABAJOS!L174)</f>
        <v/>
      </c>
      <c r="H174" s="17">
        <f>IF(TRABAJOS!B174="","",IF(TRABAJOS!L174&lt;=0,"Liquidado","Parcial"))</f>
        <v/>
      </c>
    </row>
    <row r="175">
      <c r="A175" s="15">
        <f>IF(TRABAJOS!B175="","",TRABAJOS!A175)</f>
        <v/>
      </c>
      <c r="B175" s="15">
        <f>IF(TRABAJOS!B175="","",TRABAJOS!B175)</f>
        <v/>
      </c>
      <c r="C175" s="15">
        <f>IF(TRABAJOS!B175="","",TRABAJOS!C175)</f>
        <v/>
      </c>
      <c r="D175" s="15">
        <f>IF(TRABAJOS!B175="","",TRABAJOS!E175)</f>
        <v/>
      </c>
      <c r="E175" s="16">
        <f>IF(TRABAJOS!B175="","",TRABAJOS!I175)</f>
        <v/>
      </c>
      <c r="F175" s="16">
        <f>IF(TRABAJOS!B175="","",TRABAJOS!K175)</f>
        <v/>
      </c>
      <c r="G175" s="16">
        <f>IF(TRABAJOS!B175="","",TRABAJOS!L175)</f>
        <v/>
      </c>
      <c r="H175" s="15">
        <f>IF(TRABAJOS!B175="","",IF(TRABAJOS!L175&lt;=0,"Liquidado","Parcial"))</f>
        <v/>
      </c>
    </row>
    <row r="176">
      <c r="A176" s="17">
        <f>IF(TRABAJOS!B176="","",TRABAJOS!A176)</f>
        <v/>
      </c>
      <c r="B176" s="17">
        <f>IF(TRABAJOS!B176="","",TRABAJOS!B176)</f>
        <v/>
      </c>
      <c r="C176" s="17">
        <f>IF(TRABAJOS!B176="","",TRABAJOS!C176)</f>
        <v/>
      </c>
      <c r="D176" s="17">
        <f>IF(TRABAJOS!B176="","",TRABAJOS!E176)</f>
        <v/>
      </c>
      <c r="E176" s="18">
        <f>IF(TRABAJOS!B176="","",TRABAJOS!I176)</f>
        <v/>
      </c>
      <c r="F176" s="18">
        <f>IF(TRABAJOS!B176="","",TRABAJOS!K176)</f>
        <v/>
      </c>
      <c r="G176" s="18">
        <f>IF(TRABAJOS!B176="","",TRABAJOS!L176)</f>
        <v/>
      </c>
      <c r="H176" s="17">
        <f>IF(TRABAJOS!B176="","",IF(TRABAJOS!L176&lt;=0,"Liquidado","Parcial"))</f>
        <v/>
      </c>
    </row>
    <row r="177">
      <c r="A177" s="15">
        <f>IF(TRABAJOS!B177="","",TRABAJOS!A177)</f>
        <v/>
      </c>
      <c r="B177" s="15">
        <f>IF(TRABAJOS!B177="","",TRABAJOS!B177)</f>
        <v/>
      </c>
      <c r="C177" s="15">
        <f>IF(TRABAJOS!B177="","",TRABAJOS!C177)</f>
        <v/>
      </c>
      <c r="D177" s="15">
        <f>IF(TRABAJOS!B177="","",TRABAJOS!E177)</f>
        <v/>
      </c>
      <c r="E177" s="16">
        <f>IF(TRABAJOS!B177="","",TRABAJOS!I177)</f>
        <v/>
      </c>
      <c r="F177" s="16">
        <f>IF(TRABAJOS!B177="","",TRABAJOS!K177)</f>
        <v/>
      </c>
      <c r="G177" s="16">
        <f>IF(TRABAJOS!B177="","",TRABAJOS!L177)</f>
        <v/>
      </c>
      <c r="H177" s="15">
        <f>IF(TRABAJOS!B177="","",IF(TRABAJOS!L177&lt;=0,"Liquidado","Parcial"))</f>
        <v/>
      </c>
    </row>
    <row r="178">
      <c r="A178" s="17">
        <f>IF(TRABAJOS!B178="","",TRABAJOS!A178)</f>
        <v/>
      </c>
      <c r="B178" s="17">
        <f>IF(TRABAJOS!B178="","",TRABAJOS!B178)</f>
        <v/>
      </c>
      <c r="C178" s="17">
        <f>IF(TRABAJOS!B178="","",TRABAJOS!C178)</f>
        <v/>
      </c>
      <c r="D178" s="17">
        <f>IF(TRABAJOS!B178="","",TRABAJOS!E178)</f>
        <v/>
      </c>
      <c r="E178" s="18">
        <f>IF(TRABAJOS!B178="","",TRABAJOS!I178)</f>
        <v/>
      </c>
      <c r="F178" s="18">
        <f>IF(TRABAJOS!B178="","",TRABAJOS!K178)</f>
        <v/>
      </c>
      <c r="G178" s="18">
        <f>IF(TRABAJOS!B178="","",TRABAJOS!L178)</f>
        <v/>
      </c>
      <c r="H178" s="17">
        <f>IF(TRABAJOS!B178="","",IF(TRABAJOS!L178&lt;=0,"Liquidado","Parcial"))</f>
        <v/>
      </c>
    </row>
    <row r="179">
      <c r="A179" s="15">
        <f>IF(TRABAJOS!B179="","",TRABAJOS!A179)</f>
        <v/>
      </c>
      <c r="B179" s="15">
        <f>IF(TRABAJOS!B179="","",TRABAJOS!B179)</f>
        <v/>
      </c>
      <c r="C179" s="15">
        <f>IF(TRABAJOS!B179="","",TRABAJOS!C179)</f>
        <v/>
      </c>
      <c r="D179" s="15">
        <f>IF(TRABAJOS!B179="","",TRABAJOS!E179)</f>
        <v/>
      </c>
      <c r="E179" s="16">
        <f>IF(TRABAJOS!B179="","",TRABAJOS!I179)</f>
        <v/>
      </c>
      <c r="F179" s="16">
        <f>IF(TRABAJOS!B179="","",TRABAJOS!K179)</f>
        <v/>
      </c>
      <c r="G179" s="16">
        <f>IF(TRABAJOS!B179="","",TRABAJOS!L179)</f>
        <v/>
      </c>
      <c r="H179" s="15">
        <f>IF(TRABAJOS!B179="","",IF(TRABAJOS!L179&lt;=0,"Liquidado","Parcial"))</f>
        <v/>
      </c>
    </row>
    <row r="180">
      <c r="A180" s="17">
        <f>IF(TRABAJOS!B180="","",TRABAJOS!A180)</f>
        <v/>
      </c>
      <c r="B180" s="17">
        <f>IF(TRABAJOS!B180="","",TRABAJOS!B180)</f>
        <v/>
      </c>
      <c r="C180" s="17">
        <f>IF(TRABAJOS!B180="","",TRABAJOS!C180)</f>
        <v/>
      </c>
      <c r="D180" s="17">
        <f>IF(TRABAJOS!B180="","",TRABAJOS!E180)</f>
        <v/>
      </c>
      <c r="E180" s="18">
        <f>IF(TRABAJOS!B180="","",TRABAJOS!I180)</f>
        <v/>
      </c>
      <c r="F180" s="18">
        <f>IF(TRABAJOS!B180="","",TRABAJOS!K180)</f>
        <v/>
      </c>
      <c r="G180" s="18">
        <f>IF(TRABAJOS!B180="","",TRABAJOS!L180)</f>
        <v/>
      </c>
      <c r="H180" s="17">
        <f>IF(TRABAJOS!B180="","",IF(TRABAJOS!L180&lt;=0,"Liquidado","Parcial"))</f>
        <v/>
      </c>
    </row>
    <row r="181">
      <c r="A181" s="15">
        <f>IF(TRABAJOS!B181="","",TRABAJOS!A181)</f>
        <v/>
      </c>
      <c r="B181" s="15">
        <f>IF(TRABAJOS!B181="","",TRABAJOS!B181)</f>
        <v/>
      </c>
      <c r="C181" s="15">
        <f>IF(TRABAJOS!B181="","",TRABAJOS!C181)</f>
        <v/>
      </c>
      <c r="D181" s="15">
        <f>IF(TRABAJOS!B181="","",TRABAJOS!E181)</f>
        <v/>
      </c>
      <c r="E181" s="16">
        <f>IF(TRABAJOS!B181="","",TRABAJOS!I181)</f>
        <v/>
      </c>
      <c r="F181" s="16">
        <f>IF(TRABAJOS!B181="","",TRABAJOS!K181)</f>
        <v/>
      </c>
      <c r="G181" s="16">
        <f>IF(TRABAJOS!B181="","",TRABAJOS!L181)</f>
        <v/>
      </c>
      <c r="H181" s="15">
        <f>IF(TRABAJOS!B181="","",IF(TRABAJOS!L181&lt;=0,"Liquidado","Parcial"))</f>
        <v/>
      </c>
    </row>
    <row r="182">
      <c r="A182" s="17">
        <f>IF(TRABAJOS!B182="","",TRABAJOS!A182)</f>
        <v/>
      </c>
      <c r="B182" s="17">
        <f>IF(TRABAJOS!B182="","",TRABAJOS!B182)</f>
        <v/>
      </c>
      <c r="C182" s="17">
        <f>IF(TRABAJOS!B182="","",TRABAJOS!C182)</f>
        <v/>
      </c>
      <c r="D182" s="17">
        <f>IF(TRABAJOS!B182="","",TRABAJOS!E182)</f>
        <v/>
      </c>
      <c r="E182" s="18">
        <f>IF(TRABAJOS!B182="","",TRABAJOS!I182)</f>
        <v/>
      </c>
      <c r="F182" s="18">
        <f>IF(TRABAJOS!B182="","",TRABAJOS!K182)</f>
        <v/>
      </c>
      <c r="G182" s="18">
        <f>IF(TRABAJOS!B182="","",TRABAJOS!L182)</f>
        <v/>
      </c>
      <c r="H182" s="17">
        <f>IF(TRABAJOS!B182="","",IF(TRABAJOS!L182&lt;=0,"Liquidado","Parcial"))</f>
        <v/>
      </c>
    </row>
    <row r="183">
      <c r="A183" s="15">
        <f>IF(TRABAJOS!B183="","",TRABAJOS!A183)</f>
        <v/>
      </c>
      <c r="B183" s="15">
        <f>IF(TRABAJOS!B183="","",TRABAJOS!B183)</f>
        <v/>
      </c>
      <c r="C183" s="15">
        <f>IF(TRABAJOS!B183="","",TRABAJOS!C183)</f>
        <v/>
      </c>
      <c r="D183" s="15">
        <f>IF(TRABAJOS!B183="","",TRABAJOS!E183)</f>
        <v/>
      </c>
      <c r="E183" s="16">
        <f>IF(TRABAJOS!B183="","",TRABAJOS!I183)</f>
        <v/>
      </c>
      <c r="F183" s="16">
        <f>IF(TRABAJOS!B183="","",TRABAJOS!K183)</f>
        <v/>
      </c>
      <c r="G183" s="16">
        <f>IF(TRABAJOS!B183="","",TRABAJOS!L183)</f>
        <v/>
      </c>
      <c r="H183" s="15">
        <f>IF(TRABAJOS!B183="","",IF(TRABAJOS!L183&lt;=0,"Liquidado","Parcial"))</f>
        <v/>
      </c>
    </row>
    <row r="184">
      <c r="A184" s="17">
        <f>IF(TRABAJOS!B184="","",TRABAJOS!A184)</f>
        <v/>
      </c>
      <c r="B184" s="17">
        <f>IF(TRABAJOS!B184="","",TRABAJOS!B184)</f>
        <v/>
      </c>
      <c r="C184" s="17">
        <f>IF(TRABAJOS!B184="","",TRABAJOS!C184)</f>
        <v/>
      </c>
      <c r="D184" s="17">
        <f>IF(TRABAJOS!B184="","",TRABAJOS!E184)</f>
        <v/>
      </c>
      <c r="E184" s="18">
        <f>IF(TRABAJOS!B184="","",TRABAJOS!I184)</f>
        <v/>
      </c>
      <c r="F184" s="18">
        <f>IF(TRABAJOS!B184="","",TRABAJOS!K184)</f>
        <v/>
      </c>
      <c r="G184" s="18">
        <f>IF(TRABAJOS!B184="","",TRABAJOS!L184)</f>
        <v/>
      </c>
      <c r="H184" s="17">
        <f>IF(TRABAJOS!B184="","",IF(TRABAJOS!L184&lt;=0,"Liquidado","Parcial"))</f>
        <v/>
      </c>
    </row>
    <row r="185">
      <c r="A185" s="15">
        <f>IF(TRABAJOS!B185="","",TRABAJOS!A185)</f>
        <v/>
      </c>
      <c r="B185" s="15">
        <f>IF(TRABAJOS!B185="","",TRABAJOS!B185)</f>
        <v/>
      </c>
      <c r="C185" s="15">
        <f>IF(TRABAJOS!B185="","",TRABAJOS!C185)</f>
        <v/>
      </c>
      <c r="D185" s="15">
        <f>IF(TRABAJOS!B185="","",TRABAJOS!E185)</f>
        <v/>
      </c>
      <c r="E185" s="16">
        <f>IF(TRABAJOS!B185="","",TRABAJOS!I185)</f>
        <v/>
      </c>
      <c r="F185" s="16">
        <f>IF(TRABAJOS!B185="","",TRABAJOS!K185)</f>
        <v/>
      </c>
      <c r="G185" s="16">
        <f>IF(TRABAJOS!B185="","",TRABAJOS!L185)</f>
        <v/>
      </c>
      <c r="H185" s="15">
        <f>IF(TRABAJOS!B185="","",IF(TRABAJOS!L185&lt;=0,"Liquidado","Parcial"))</f>
        <v/>
      </c>
    </row>
    <row r="186">
      <c r="A186" s="17">
        <f>IF(TRABAJOS!B186="","",TRABAJOS!A186)</f>
        <v/>
      </c>
      <c r="B186" s="17">
        <f>IF(TRABAJOS!B186="","",TRABAJOS!B186)</f>
        <v/>
      </c>
      <c r="C186" s="17">
        <f>IF(TRABAJOS!B186="","",TRABAJOS!C186)</f>
        <v/>
      </c>
      <c r="D186" s="17">
        <f>IF(TRABAJOS!B186="","",TRABAJOS!E186)</f>
        <v/>
      </c>
      <c r="E186" s="18">
        <f>IF(TRABAJOS!B186="","",TRABAJOS!I186)</f>
        <v/>
      </c>
      <c r="F186" s="18">
        <f>IF(TRABAJOS!B186="","",TRABAJOS!K186)</f>
        <v/>
      </c>
      <c r="G186" s="18">
        <f>IF(TRABAJOS!B186="","",TRABAJOS!L186)</f>
        <v/>
      </c>
      <c r="H186" s="17">
        <f>IF(TRABAJOS!B186="","",IF(TRABAJOS!L186&lt;=0,"Liquidado","Parcial"))</f>
        <v/>
      </c>
    </row>
    <row r="187">
      <c r="A187" s="15">
        <f>IF(TRABAJOS!B187="","",TRABAJOS!A187)</f>
        <v/>
      </c>
      <c r="B187" s="15">
        <f>IF(TRABAJOS!B187="","",TRABAJOS!B187)</f>
        <v/>
      </c>
      <c r="C187" s="15">
        <f>IF(TRABAJOS!B187="","",TRABAJOS!C187)</f>
        <v/>
      </c>
      <c r="D187" s="15">
        <f>IF(TRABAJOS!B187="","",TRABAJOS!E187)</f>
        <v/>
      </c>
      <c r="E187" s="16">
        <f>IF(TRABAJOS!B187="","",TRABAJOS!I187)</f>
        <v/>
      </c>
      <c r="F187" s="16">
        <f>IF(TRABAJOS!B187="","",TRABAJOS!K187)</f>
        <v/>
      </c>
      <c r="G187" s="16">
        <f>IF(TRABAJOS!B187="","",TRABAJOS!L187)</f>
        <v/>
      </c>
      <c r="H187" s="15">
        <f>IF(TRABAJOS!B187="","",IF(TRABAJOS!L187&lt;=0,"Liquidado","Parcial"))</f>
        <v/>
      </c>
    </row>
    <row r="188">
      <c r="A188" s="17">
        <f>IF(TRABAJOS!B188="","",TRABAJOS!A188)</f>
        <v/>
      </c>
      <c r="B188" s="17">
        <f>IF(TRABAJOS!B188="","",TRABAJOS!B188)</f>
        <v/>
      </c>
      <c r="C188" s="17">
        <f>IF(TRABAJOS!B188="","",TRABAJOS!C188)</f>
        <v/>
      </c>
      <c r="D188" s="17">
        <f>IF(TRABAJOS!B188="","",TRABAJOS!E188)</f>
        <v/>
      </c>
      <c r="E188" s="18">
        <f>IF(TRABAJOS!B188="","",TRABAJOS!I188)</f>
        <v/>
      </c>
      <c r="F188" s="18">
        <f>IF(TRABAJOS!B188="","",TRABAJOS!K188)</f>
        <v/>
      </c>
      <c r="G188" s="18">
        <f>IF(TRABAJOS!B188="","",TRABAJOS!L188)</f>
        <v/>
      </c>
      <c r="H188" s="17">
        <f>IF(TRABAJOS!B188="","",IF(TRABAJOS!L188&lt;=0,"Liquidado","Parcial"))</f>
        <v/>
      </c>
    </row>
    <row r="189">
      <c r="A189" s="15">
        <f>IF(TRABAJOS!B189="","",TRABAJOS!A189)</f>
        <v/>
      </c>
      <c r="B189" s="15">
        <f>IF(TRABAJOS!B189="","",TRABAJOS!B189)</f>
        <v/>
      </c>
      <c r="C189" s="15">
        <f>IF(TRABAJOS!B189="","",TRABAJOS!C189)</f>
        <v/>
      </c>
      <c r="D189" s="15">
        <f>IF(TRABAJOS!B189="","",TRABAJOS!E189)</f>
        <v/>
      </c>
      <c r="E189" s="16">
        <f>IF(TRABAJOS!B189="","",TRABAJOS!I189)</f>
        <v/>
      </c>
      <c r="F189" s="16">
        <f>IF(TRABAJOS!B189="","",TRABAJOS!K189)</f>
        <v/>
      </c>
      <c r="G189" s="16">
        <f>IF(TRABAJOS!B189="","",TRABAJOS!L189)</f>
        <v/>
      </c>
      <c r="H189" s="15">
        <f>IF(TRABAJOS!B189="","",IF(TRABAJOS!L189&lt;=0,"Liquidado","Parcial"))</f>
        <v/>
      </c>
    </row>
    <row r="190">
      <c r="A190" s="17">
        <f>IF(TRABAJOS!B190="","",TRABAJOS!A190)</f>
        <v/>
      </c>
      <c r="B190" s="17">
        <f>IF(TRABAJOS!B190="","",TRABAJOS!B190)</f>
        <v/>
      </c>
      <c r="C190" s="17">
        <f>IF(TRABAJOS!B190="","",TRABAJOS!C190)</f>
        <v/>
      </c>
      <c r="D190" s="17">
        <f>IF(TRABAJOS!B190="","",TRABAJOS!E190)</f>
        <v/>
      </c>
      <c r="E190" s="18">
        <f>IF(TRABAJOS!B190="","",TRABAJOS!I190)</f>
        <v/>
      </c>
      <c r="F190" s="18">
        <f>IF(TRABAJOS!B190="","",TRABAJOS!K190)</f>
        <v/>
      </c>
      <c r="G190" s="18">
        <f>IF(TRABAJOS!B190="","",TRABAJOS!L190)</f>
        <v/>
      </c>
      <c r="H190" s="17">
        <f>IF(TRABAJOS!B190="","",IF(TRABAJOS!L190&lt;=0,"Liquidado","Parcial"))</f>
        <v/>
      </c>
    </row>
    <row r="191">
      <c r="A191" s="15">
        <f>IF(TRABAJOS!B191="","",TRABAJOS!A191)</f>
        <v/>
      </c>
      <c r="B191" s="15">
        <f>IF(TRABAJOS!B191="","",TRABAJOS!B191)</f>
        <v/>
      </c>
      <c r="C191" s="15">
        <f>IF(TRABAJOS!B191="","",TRABAJOS!C191)</f>
        <v/>
      </c>
      <c r="D191" s="15">
        <f>IF(TRABAJOS!B191="","",TRABAJOS!E191)</f>
        <v/>
      </c>
      <c r="E191" s="16">
        <f>IF(TRABAJOS!B191="","",TRABAJOS!I191)</f>
        <v/>
      </c>
      <c r="F191" s="16">
        <f>IF(TRABAJOS!B191="","",TRABAJOS!K191)</f>
        <v/>
      </c>
      <c r="G191" s="16">
        <f>IF(TRABAJOS!B191="","",TRABAJOS!L191)</f>
        <v/>
      </c>
      <c r="H191" s="15">
        <f>IF(TRABAJOS!B191="","",IF(TRABAJOS!L191&lt;=0,"Liquidado","Parcial"))</f>
        <v/>
      </c>
    </row>
    <row r="192">
      <c r="A192" s="17">
        <f>IF(TRABAJOS!B192="","",TRABAJOS!A192)</f>
        <v/>
      </c>
      <c r="B192" s="17">
        <f>IF(TRABAJOS!B192="","",TRABAJOS!B192)</f>
        <v/>
      </c>
      <c r="C192" s="17">
        <f>IF(TRABAJOS!B192="","",TRABAJOS!C192)</f>
        <v/>
      </c>
      <c r="D192" s="17">
        <f>IF(TRABAJOS!B192="","",TRABAJOS!E192)</f>
        <v/>
      </c>
      <c r="E192" s="18">
        <f>IF(TRABAJOS!B192="","",TRABAJOS!I192)</f>
        <v/>
      </c>
      <c r="F192" s="18">
        <f>IF(TRABAJOS!B192="","",TRABAJOS!K192)</f>
        <v/>
      </c>
      <c r="G192" s="18">
        <f>IF(TRABAJOS!B192="","",TRABAJOS!L192)</f>
        <v/>
      </c>
      <c r="H192" s="17">
        <f>IF(TRABAJOS!B192="","",IF(TRABAJOS!L192&lt;=0,"Liquidado","Parcial"))</f>
        <v/>
      </c>
    </row>
    <row r="193">
      <c r="A193" s="15">
        <f>IF(TRABAJOS!B193="","",TRABAJOS!A193)</f>
        <v/>
      </c>
      <c r="B193" s="15">
        <f>IF(TRABAJOS!B193="","",TRABAJOS!B193)</f>
        <v/>
      </c>
      <c r="C193" s="15">
        <f>IF(TRABAJOS!B193="","",TRABAJOS!C193)</f>
        <v/>
      </c>
      <c r="D193" s="15">
        <f>IF(TRABAJOS!B193="","",TRABAJOS!E193)</f>
        <v/>
      </c>
      <c r="E193" s="16">
        <f>IF(TRABAJOS!B193="","",TRABAJOS!I193)</f>
        <v/>
      </c>
      <c r="F193" s="16">
        <f>IF(TRABAJOS!B193="","",TRABAJOS!K193)</f>
        <v/>
      </c>
      <c r="G193" s="16">
        <f>IF(TRABAJOS!B193="","",TRABAJOS!L193)</f>
        <v/>
      </c>
      <c r="H193" s="15">
        <f>IF(TRABAJOS!B193="","",IF(TRABAJOS!L193&lt;=0,"Liquidado","Parcial"))</f>
        <v/>
      </c>
    </row>
    <row r="194">
      <c r="A194" s="17">
        <f>IF(TRABAJOS!B194="","",TRABAJOS!A194)</f>
        <v/>
      </c>
      <c r="B194" s="17">
        <f>IF(TRABAJOS!B194="","",TRABAJOS!B194)</f>
        <v/>
      </c>
      <c r="C194" s="17">
        <f>IF(TRABAJOS!B194="","",TRABAJOS!C194)</f>
        <v/>
      </c>
      <c r="D194" s="17">
        <f>IF(TRABAJOS!B194="","",TRABAJOS!E194)</f>
        <v/>
      </c>
      <c r="E194" s="18">
        <f>IF(TRABAJOS!B194="","",TRABAJOS!I194)</f>
        <v/>
      </c>
      <c r="F194" s="18">
        <f>IF(TRABAJOS!B194="","",TRABAJOS!K194)</f>
        <v/>
      </c>
      <c r="G194" s="18">
        <f>IF(TRABAJOS!B194="","",TRABAJOS!L194)</f>
        <v/>
      </c>
      <c r="H194" s="17">
        <f>IF(TRABAJOS!B194="","",IF(TRABAJOS!L194&lt;=0,"Liquidado","Parcial"))</f>
        <v/>
      </c>
    </row>
    <row r="195">
      <c r="A195" s="15">
        <f>IF(TRABAJOS!B195="","",TRABAJOS!A195)</f>
        <v/>
      </c>
      <c r="B195" s="15">
        <f>IF(TRABAJOS!B195="","",TRABAJOS!B195)</f>
        <v/>
      </c>
      <c r="C195" s="15">
        <f>IF(TRABAJOS!B195="","",TRABAJOS!C195)</f>
        <v/>
      </c>
      <c r="D195" s="15">
        <f>IF(TRABAJOS!B195="","",TRABAJOS!E195)</f>
        <v/>
      </c>
      <c r="E195" s="16">
        <f>IF(TRABAJOS!B195="","",TRABAJOS!I195)</f>
        <v/>
      </c>
      <c r="F195" s="16">
        <f>IF(TRABAJOS!B195="","",TRABAJOS!K195)</f>
        <v/>
      </c>
      <c r="G195" s="16">
        <f>IF(TRABAJOS!B195="","",TRABAJOS!L195)</f>
        <v/>
      </c>
      <c r="H195" s="15">
        <f>IF(TRABAJOS!B195="","",IF(TRABAJOS!L195&lt;=0,"Liquidado","Parcial"))</f>
        <v/>
      </c>
    </row>
    <row r="196">
      <c r="A196" s="17">
        <f>IF(TRABAJOS!B196="","",TRABAJOS!A196)</f>
        <v/>
      </c>
      <c r="B196" s="17">
        <f>IF(TRABAJOS!B196="","",TRABAJOS!B196)</f>
        <v/>
      </c>
      <c r="C196" s="17">
        <f>IF(TRABAJOS!B196="","",TRABAJOS!C196)</f>
        <v/>
      </c>
      <c r="D196" s="17">
        <f>IF(TRABAJOS!B196="","",TRABAJOS!E196)</f>
        <v/>
      </c>
      <c r="E196" s="18">
        <f>IF(TRABAJOS!B196="","",TRABAJOS!I196)</f>
        <v/>
      </c>
      <c r="F196" s="18">
        <f>IF(TRABAJOS!B196="","",TRABAJOS!K196)</f>
        <v/>
      </c>
      <c r="G196" s="18">
        <f>IF(TRABAJOS!B196="","",TRABAJOS!L196)</f>
        <v/>
      </c>
      <c r="H196" s="17">
        <f>IF(TRABAJOS!B196="","",IF(TRABAJOS!L196&lt;=0,"Liquidado","Parcial"))</f>
        <v/>
      </c>
    </row>
    <row r="197">
      <c r="A197" s="15">
        <f>IF(TRABAJOS!B197="","",TRABAJOS!A197)</f>
        <v/>
      </c>
      <c r="B197" s="15">
        <f>IF(TRABAJOS!B197="","",TRABAJOS!B197)</f>
        <v/>
      </c>
      <c r="C197" s="15">
        <f>IF(TRABAJOS!B197="","",TRABAJOS!C197)</f>
        <v/>
      </c>
      <c r="D197" s="15">
        <f>IF(TRABAJOS!B197="","",TRABAJOS!E197)</f>
        <v/>
      </c>
      <c r="E197" s="16">
        <f>IF(TRABAJOS!B197="","",TRABAJOS!I197)</f>
        <v/>
      </c>
      <c r="F197" s="16">
        <f>IF(TRABAJOS!B197="","",TRABAJOS!K197)</f>
        <v/>
      </c>
      <c r="G197" s="16">
        <f>IF(TRABAJOS!B197="","",TRABAJOS!L197)</f>
        <v/>
      </c>
      <c r="H197" s="15">
        <f>IF(TRABAJOS!B197="","",IF(TRABAJOS!L197&lt;=0,"Liquidado","Parcial"))</f>
        <v/>
      </c>
    </row>
    <row r="198">
      <c r="A198" s="17">
        <f>IF(TRABAJOS!B198="","",TRABAJOS!A198)</f>
        <v/>
      </c>
      <c r="B198" s="17">
        <f>IF(TRABAJOS!B198="","",TRABAJOS!B198)</f>
        <v/>
      </c>
      <c r="C198" s="17">
        <f>IF(TRABAJOS!B198="","",TRABAJOS!C198)</f>
        <v/>
      </c>
      <c r="D198" s="17">
        <f>IF(TRABAJOS!B198="","",TRABAJOS!E198)</f>
        <v/>
      </c>
      <c r="E198" s="18">
        <f>IF(TRABAJOS!B198="","",TRABAJOS!I198)</f>
        <v/>
      </c>
      <c r="F198" s="18">
        <f>IF(TRABAJOS!B198="","",TRABAJOS!K198)</f>
        <v/>
      </c>
      <c r="G198" s="18">
        <f>IF(TRABAJOS!B198="","",TRABAJOS!L198)</f>
        <v/>
      </c>
      <c r="H198" s="17">
        <f>IF(TRABAJOS!B198="","",IF(TRABAJOS!L198&lt;=0,"Liquidado","Parcial"))</f>
        <v/>
      </c>
    </row>
    <row r="199">
      <c r="A199" s="15">
        <f>IF(TRABAJOS!B199="","",TRABAJOS!A199)</f>
        <v/>
      </c>
      <c r="B199" s="15">
        <f>IF(TRABAJOS!B199="","",TRABAJOS!B199)</f>
        <v/>
      </c>
      <c r="C199" s="15">
        <f>IF(TRABAJOS!B199="","",TRABAJOS!C199)</f>
        <v/>
      </c>
      <c r="D199" s="15">
        <f>IF(TRABAJOS!B199="","",TRABAJOS!E199)</f>
        <v/>
      </c>
      <c r="E199" s="16">
        <f>IF(TRABAJOS!B199="","",TRABAJOS!I199)</f>
        <v/>
      </c>
      <c r="F199" s="16">
        <f>IF(TRABAJOS!B199="","",TRABAJOS!K199)</f>
        <v/>
      </c>
      <c r="G199" s="16">
        <f>IF(TRABAJOS!B199="","",TRABAJOS!L199)</f>
        <v/>
      </c>
      <c r="H199" s="15">
        <f>IF(TRABAJOS!B199="","",IF(TRABAJOS!L199&lt;=0,"Liquidado","Parcial"))</f>
        <v/>
      </c>
    </row>
    <row r="200">
      <c r="A200" s="17">
        <f>IF(TRABAJOS!B200="","",TRABAJOS!A200)</f>
        <v/>
      </c>
      <c r="B200" s="17">
        <f>IF(TRABAJOS!B200="","",TRABAJOS!B200)</f>
        <v/>
      </c>
      <c r="C200" s="17">
        <f>IF(TRABAJOS!B200="","",TRABAJOS!C200)</f>
        <v/>
      </c>
      <c r="D200" s="17">
        <f>IF(TRABAJOS!B200="","",TRABAJOS!E200)</f>
        <v/>
      </c>
      <c r="E200" s="18">
        <f>IF(TRABAJOS!B200="","",TRABAJOS!I200)</f>
        <v/>
      </c>
      <c r="F200" s="18">
        <f>IF(TRABAJOS!B200="","",TRABAJOS!K200)</f>
        <v/>
      </c>
      <c r="G200" s="18">
        <f>IF(TRABAJOS!B200="","",TRABAJOS!L200)</f>
        <v/>
      </c>
      <c r="H200" s="17">
        <f>IF(TRABAJOS!B200="","",IF(TRABAJOS!L200&lt;=0,"Liquidado","Parcial"))</f>
        <v/>
      </c>
    </row>
    <row r="201">
      <c r="A201" s="15">
        <f>IF(TRABAJOS!B201="","",TRABAJOS!A201)</f>
        <v/>
      </c>
      <c r="B201" s="15">
        <f>IF(TRABAJOS!B201="","",TRABAJOS!B201)</f>
        <v/>
      </c>
      <c r="C201" s="15">
        <f>IF(TRABAJOS!B201="","",TRABAJOS!C201)</f>
        <v/>
      </c>
      <c r="D201" s="15">
        <f>IF(TRABAJOS!B201="","",TRABAJOS!E201)</f>
        <v/>
      </c>
      <c r="E201" s="16">
        <f>IF(TRABAJOS!B201="","",TRABAJOS!I201)</f>
        <v/>
      </c>
      <c r="F201" s="16">
        <f>IF(TRABAJOS!B201="","",TRABAJOS!K201)</f>
        <v/>
      </c>
      <c r="G201" s="16">
        <f>IF(TRABAJOS!B201="","",TRABAJOS!L201)</f>
        <v/>
      </c>
      <c r="H201" s="15">
        <f>IF(TRABAJOS!B201="","",IF(TRABAJOS!L201&lt;=0,"Liquidado","Parcial"))</f>
        <v/>
      </c>
    </row>
    <row r="202">
      <c r="A202" s="17">
        <f>IF(TRABAJOS!B202="","",TRABAJOS!A202)</f>
        <v/>
      </c>
      <c r="B202" s="17">
        <f>IF(TRABAJOS!B202="","",TRABAJOS!B202)</f>
        <v/>
      </c>
      <c r="C202" s="17">
        <f>IF(TRABAJOS!B202="","",TRABAJOS!C202)</f>
        <v/>
      </c>
      <c r="D202" s="17">
        <f>IF(TRABAJOS!B202="","",TRABAJOS!E202)</f>
        <v/>
      </c>
      <c r="E202" s="18">
        <f>IF(TRABAJOS!B202="","",TRABAJOS!I202)</f>
        <v/>
      </c>
      <c r="F202" s="18">
        <f>IF(TRABAJOS!B202="","",TRABAJOS!K202)</f>
        <v/>
      </c>
      <c r="G202" s="18">
        <f>IF(TRABAJOS!B202="","",TRABAJOS!L202)</f>
        <v/>
      </c>
      <c r="H202" s="17">
        <f>IF(TRABAJOS!B202="","",IF(TRABAJOS!L202&lt;=0,"Liquidado","Parcial"))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8A"/>
  <autoFilter ref="A2:H20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9" t="inlineStr">
        <is>
          <t>GM7 PRO · DASHBOARD EJECUTIVO</t>
        </is>
      </c>
      <c r="P1" s="20" t="inlineStr">
        <is>
          <t>Status</t>
        </is>
      </c>
      <c r="Q1" s="20" t="inlineStr">
        <is>
          <t>Cantidad</t>
        </is>
      </c>
    </row>
    <row r="2">
      <c r="P2" t="inlineStr">
        <is>
          <t>Pendiente</t>
        </is>
      </c>
      <c r="Q2">
        <f>COUNTIF(TRABAJOS!Q3:Q202,"Pendiente")</f>
        <v/>
      </c>
    </row>
    <row r="3">
      <c r="A3" s="21" t="inlineStr">
        <is>
          <t>RESUMEN FINANCIERO</t>
        </is>
      </c>
      <c r="P3" t="inlineStr">
        <is>
          <t>En diseño</t>
        </is>
      </c>
      <c r="Q3">
        <f>COUNTIF(TRABAJOS!Q3:Q202,"En diseño")</f>
        <v/>
      </c>
    </row>
    <row r="4">
      <c r="A4" s="22" t="inlineStr">
        <is>
          <t>Total Ventas</t>
        </is>
      </c>
      <c r="B4" s="23">
        <f>SUM(TRABAJOS!I3:I202)</f>
        <v/>
      </c>
      <c r="C4" s="24" t="inlineStr">
        <is>
          <t>Anticipos</t>
        </is>
      </c>
      <c r="D4" s="25">
        <f>SUM(TRABAJOS!K3:K202)</f>
        <v/>
      </c>
      <c r="E4" s="26" t="inlineStr">
        <is>
          <t>Saldo Pendiente</t>
        </is>
      </c>
      <c r="F4" s="27">
        <f>SUM(TRABAJOS!L3:L202)</f>
        <v/>
      </c>
      <c r="G4" s="28" t="inlineStr">
        <is>
          <t>Liquidados</t>
        </is>
      </c>
      <c r="H4" s="29">
        <f>COUNTIF(TRABAJOS!R3:R202,"Sí")</f>
        <v/>
      </c>
      <c r="I4" s="30" t="inlineStr">
        <is>
          <t>Por Cobrar</t>
        </is>
      </c>
      <c r="J4" s="31">
        <f>COUNTIF(TRABAJOS!R3:R202,"No")</f>
        <v/>
      </c>
      <c r="P4" t="inlineStr">
        <is>
          <t>En producción</t>
        </is>
      </c>
      <c r="Q4">
        <f>COUNTIF(TRABAJOS!Q3:Q202,"En producción")</f>
        <v/>
      </c>
    </row>
    <row r="5">
      <c r="P5" t="inlineStr">
        <is>
          <t>Listo para entrega</t>
        </is>
      </c>
      <c r="Q5">
        <f>COUNTIF(TRABAJOS!Q3:Q202,"Listo para entrega")</f>
        <v/>
      </c>
    </row>
    <row r="6">
      <c r="P6" t="inlineStr">
        <is>
          <t>Entregado</t>
        </is>
      </c>
      <c r="Q6">
        <f>COUNTIF(TRABAJOS!Q3:Q202,"Entregado")</f>
        <v/>
      </c>
    </row>
    <row r="7">
      <c r="A7" s="2" t="inlineStr">
        <is>
          <t>ESTADO DE PRODUCCIÓN</t>
        </is>
      </c>
      <c r="P7" t="inlineStr">
        <is>
          <t>Cancelado</t>
        </is>
      </c>
      <c r="Q7">
        <f>COUNTIF(TRABAJOS!Q3:Q202,"Cancelado")</f>
        <v/>
      </c>
    </row>
    <row r="8">
      <c r="A8" s="32" t="inlineStr">
        <is>
          <t>Pendientes</t>
        </is>
      </c>
      <c r="B8" s="33">
        <f>COUNTIF(TRABAJOS!Q3:Q202,"Pendiente")</f>
        <v/>
      </c>
      <c r="C8" s="34" t="inlineStr">
        <is>
          <t>En Diseño</t>
        </is>
      </c>
      <c r="D8" s="35">
        <f>COUNTIF(TRABAJOS!Q3:Q202,"En diseño")</f>
        <v/>
      </c>
      <c r="E8" s="36" t="inlineStr">
        <is>
          <t>En Producción</t>
        </is>
      </c>
      <c r="F8" s="37">
        <f>COUNTIF(TRABAJOS!Q3:Q202,"En producción")</f>
        <v/>
      </c>
      <c r="G8" s="38" t="inlineStr">
        <is>
          <t>Listos</t>
        </is>
      </c>
      <c r="H8" s="39">
        <f>COUNTIF(TRABAJOS!Q3:Q202,"Listo para entrega")</f>
        <v/>
      </c>
      <c r="I8" s="40" t="inlineStr">
        <is>
          <t>Entregados</t>
        </is>
      </c>
      <c r="J8" s="41">
        <f>COUNTIF(TRABAJOS!Q3:Q202,"Entregado")</f>
        <v/>
      </c>
    </row>
    <row r="10">
      <c r="P10" s="20" t="inlineStr">
        <is>
          <t>Pago</t>
        </is>
      </c>
      <c r="Q10" s="20" t="inlineStr">
        <is>
          <t>Cantidad</t>
        </is>
      </c>
    </row>
    <row r="11">
      <c r="A11" s="42" t="inlineStr">
        <is>
          <t>DISEÑO Y PRIORIDADES</t>
        </is>
      </c>
      <c r="P11" t="inlineStr">
        <is>
          <t>Liquidado</t>
        </is>
      </c>
      <c r="Q11">
        <f>COUNTIF(TRABAJOS!R3:R202,"Sí")</f>
        <v/>
      </c>
    </row>
    <row r="12">
      <c r="A12" s="43" t="inlineStr">
        <is>
          <t>Trae Diseño</t>
        </is>
      </c>
      <c r="B12" s="44">
        <f>COUNTIF(TRABAJOS!G3:G202,"Sí")</f>
        <v/>
      </c>
      <c r="C12" s="45" t="inlineStr">
        <is>
          <t>Requiere Diseño</t>
        </is>
      </c>
      <c r="D12" s="46">
        <f>COUNTIF(TRABAJOS!G3:G202,"No")</f>
        <v/>
      </c>
      <c r="E12" s="26" t="inlineStr">
        <is>
          <t>Prioritarios</t>
        </is>
      </c>
      <c r="F12" s="47">
        <f>COUNTIF(TRABAJOS!P3:P202,"Prioritaria")</f>
        <v/>
      </c>
      <c r="G12" s="36" t="inlineStr">
        <is>
          <t>Alta Prioridad</t>
        </is>
      </c>
      <c r="H12" s="37">
        <f>COUNTIF(TRABAJOS!P3:P202,"Alta")</f>
        <v/>
      </c>
      <c r="I12" s="22" t="inlineStr">
        <is>
          <t>Total Trabajos</t>
        </is>
      </c>
      <c r="J12" s="48">
        <f>COUNTIF(TRABAJOS!B3:B202,"&lt;&gt;")</f>
        <v/>
      </c>
      <c r="P12" t="inlineStr">
        <is>
          <t>Por cobrar</t>
        </is>
      </c>
      <c r="Q12">
        <f>COUNTIF(TRABAJOS!R3:R202,"No")</f>
        <v/>
      </c>
    </row>
    <row r="14">
      <c r="A14" s="2" t="inlineStr">
        <is>
          <t>DISTRIBUCIÓN OPERATIVA</t>
        </is>
      </c>
    </row>
    <row r="15">
      <c r="P15" s="20" t="inlineStr">
        <is>
          <t>Semana</t>
        </is>
      </c>
      <c r="Q15" s="20" t="inlineStr">
        <is>
          <t>Ventas</t>
        </is>
      </c>
      <c r="R15" s="20" t="inlineStr">
        <is>
          <t>Pico</t>
        </is>
      </c>
      <c r="S15" s="20" t="inlineStr">
        <is>
          <t>Inicio</t>
        </is>
      </c>
      <c r="T15" s="20" t="inlineStr">
        <is>
          <t>Fin</t>
        </is>
      </c>
    </row>
    <row r="16">
      <c r="P16">
        <f>TEXT(S16,"dd/mm")</f>
        <v/>
      </c>
      <c r="Q16" s="49">
        <f>SUMIFS(TRABAJOS!$I$3:$I$202,TRABAJOS!$B$3:$B$202,"&gt;="&amp;S16,TRABAJOS!$B$3:$B$202,"&lt;="&amp;T16)</f>
        <v/>
      </c>
      <c r="R16" s="49">
        <f>IF(AND(Q16=MAX($Q$16:$Q$21),Q16&gt;0),Q16,NA())</f>
        <v/>
      </c>
      <c r="S16">
        <f>TODAY()-WEEKDAY(TODAY(),2)+1-7*5</f>
        <v/>
      </c>
      <c r="T16">
        <f>S16+6</f>
        <v/>
      </c>
    </row>
    <row r="17">
      <c r="P17">
        <f>TEXT(S17,"dd/mm")</f>
        <v/>
      </c>
      <c r="Q17" s="49">
        <f>SUMIFS(TRABAJOS!$I$3:$I$202,TRABAJOS!$B$3:$B$202,"&gt;="&amp;S17,TRABAJOS!$B$3:$B$202,"&lt;="&amp;T17)</f>
        <v/>
      </c>
      <c r="R17" s="49">
        <f>IF(AND(Q17=MAX($Q$16:$Q$21),Q17&gt;0),Q17,NA())</f>
        <v/>
      </c>
      <c r="S17">
        <f>TODAY()-WEEKDAY(TODAY(),2)+1-7*4</f>
        <v/>
      </c>
      <c r="T17">
        <f>S17+6</f>
        <v/>
      </c>
    </row>
    <row r="18">
      <c r="P18">
        <f>TEXT(S18,"dd/mm")</f>
        <v/>
      </c>
      <c r="Q18" s="49">
        <f>SUMIFS(TRABAJOS!$I$3:$I$202,TRABAJOS!$B$3:$B$202,"&gt;="&amp;S18,TRABAJOS!$B$3:$B$202,"&lt;="&amp;T18)</f>
        <v/>
      </c>
      <c r="R18" s="49">
        <f>IF(AND(Q18=MAX($Q$16:$Q$21),Q18&gt;0),Q18,NA())</f>
        <v/>
      </c>
      <c r="S18">
        <f>TODAY()-WEEKDAY(TODAY(),2)+1-7*3</f>
        <v/>
      </c>
      <c r="T18">
        <f>S18+6</f>
        <v/>
      </c>
    </row>
    <row r="19">
      <c r="P19">
        <f>TEXT(S19,"dd/mm")</f>
        <v/>
      </c>
      <c r="Q19" s="49">
        <f>SUMIFS(TRABAJOS!$I$3:$I$202,TRABAJOS!$B$3:$B$202,"&gt;="&amp;S19,TRABAJOS!$B$3:$B$202,"&lt;="&amp;T19)</f>
        <v/>
      </c>
      <c r="R19" s="49">
        <f>IF(AND(Q19=MAX($Q$16:$Q$21),Q19&gt;0),Q19,NA())</f>
        <v/>
      </c>
      <c r="S19">
        <f>TODAY()-WEEKDAY(TODAY(),2)+1-7*2</f>
        <v/>
      </c>
      <c r="T19">
        <f>S19+6</f>
        <v/>
      </c>
    </row>
    <row r="20">
      <c r="P20">
        <f>TEXT(S20,"dd/mm")</f>
        <v/>
      </c>
      <c r="Q20" s="49">
        <f>SUMIFS(TRABAJOS!$I$3:$I$202,TRABAJOS!$B$3:$B$202,"&gt;="&amp;S20,TRABAJOS!$B$3:$B$202,"&lt;="&amp;T20)</f>
        <v/>
      </c>
      <c r="R20" s="49">
        <f>IF(AND(Q20=MAX($Q$16:$Q$21),Q20&gt;0),Q20,NA())</f>
        <v/>
      </c>
      <c r="S20">
        <f>TODAY()-WEEKDAY(TODAY(),2)+1-7*1</f>
        <v/>
      </c>
      <c r="T20">
        <f>S20+6</f>
        <v/>
      </c>
    </row>
    <row r="21">
      <c r="P21">
        <f>TEXT(S21,"dd/mm")</f>
        <v/>
      </c>
      <c r="Q21" s="49">
        <f>SUMIFS(TRABAJOS!$I$3:$I$202,TRABAJOS!$B$3:$B$202,"&gt;="&amp;S21,TRABAJOS!$B$3:$B$202,"&lt;="&amp;T21)</f>
        <v/>
      </c>
      <c r="R21" s="49">
        <f>IF(AND(Q21=MAX($Q$16:$Q$21),Q21&gt;0),Q21,NA())</f>
        <v/>
      </c>
      <c r="S21">
        <f>TODAY()-WEEKDAY(TODAY(),2)+1-7*0</f>
        <v/>
      </c>
      <c r="T21">
        <f>S21+6</f>
        <v/>
      </c>
    </row>
    <row r="24">
      <c r="P24" s="20" t="inlineStr">
        <is>
          <t>Mes</t>
        </is>
      </c>
      <c r="Q24" s="20" t="inlineStr">
        <is>
          <t>Ventas</t>
        </is>
      </c>
      <c r="S24" s="20" t="inlineStr">
        <is>
          <t>Inicio</t>
        </is>
      </c>
      <c r="T24" s="20" t="inlineStr">
        <is>
          <t>Fin</t>
        </is>
      </c>
    </row>
    <row r="25">
      <c r="P25">
        <f>TEXT(S25,"mmm yy")</f>
        <v/>
      </c>
      <c r="Q25" s="49">
        <f>SUMIFS(TRABAJOS!$I$3:$I$202,TRABAJOS!$B$3:$B$202,"&gt;="&amp;S25,TRABAJOS!$B$3:$B$202,"&lt;="&amp;T25)</f>
        <v/>
      </c>
      <c r="S25">
        <f>DATE(YEAR(TODAY()),MONTH(TODAY())-5,1)</f>
        <v/>
      </c>
      <c r="T25">
        <f>EOMONTH(S25,0)</f>
        <v/>
      </c>
    </row>
    <row r="26">
      <c r="P26">
        <f>TEXT(S26,"mmm yy")</f>
        <v/>
      </c>
      <c r="Q26" s="49">
        <f>SUMIFS(TRABAJOS!$I$3:$I$202,TRABAJOS!$B$3:$B$202,"&gt;="&amp;S26,TRABAJOS!$B$3:$B$202,"&lt;="&amp;T26)</f>
        <v/>
      </c>
      <c r="S26">
        <f>DATE(YEAR(TODAY()),MONTH(TODAY())-4,1)</f>
        <v/>
      </c>
      <c r="T26">
        <f>EOMONTH(S26,0)</f>
        <v/>
      </c>
    </row>
    <row r="27">
      <c r="P27">
        <f>TEXT(S27,"mmm yy")</f>
        <v/>
      </c>
      <c r="Q27" s="49">
        <f>SUMIFS(TRABAJOS!$I$3:$I$202,TRABAJOS!$B$3:$B$202,"&gt;="&amp;S27,TRABAJOS!$B$3:$B$202,"&lt;="&amp;T27)</f>
        <v/>
      </c>
      <c r="S27">
        <f>DATE(YEAR(TODAY()),MONTH(TODAY())-3,1)</f>
        <v/>
      </c>
      <c r="T27">
        <f>EOMONTH(S27,0)</f>
        <v/>
      </c>
    </row>
    <row r="28">
      <c r="P28">
        <f>TEXT(S28,"mmm yy")</f>
        <v/>
      </c>
      <c r="Q28" s="49">
        <f>SUMIFS(TRABAJOS!$I$3:$I$202,TRABAJOS!$B$3:$B$202,"&gt;="&amp;S28,TRABAJOS!$B$3:$B$202,"&lt;="&amp;T28)</f>
        <v/>
      </c>
      <c r="S28">
        <f>DATE(YEAR(TODAY()),MONTH(TODAY())-2,1)</f>
        <v/>
      </c>
      <c r="T28">
        <f>EOMONTH(S28,0)</f>
        <v/>
      </c>
    </row>
    <row r="29">
      <c r="P29">
        <f>TEXT(S29,"mmm yy")</f>
        <v/>
      </c>
      <c r="Q29" s="49">
        <f>SUMIFS(TRABAJOS!$I$3:$I$202,TRABAJOS!$B$3:$B$202,"&gt;="&amp;S29,TRABAJOS!$B$3:$B$202,"&lt;="&amp;T29)</f>
        <v/>
      </c>
      <c r="S29">
        <f>DATE(YEAR(TODAY()),MONTH(TODAY())-1,1)</f>
        <v/>
      </c>
      <c r="T29">
        <f>EOMONTH(S29,0)</f>
        <v/>
      </c>
    </row>
    <row r="30">
      <c r="P30">
        <f>TEXT(S30,"mmm yy")</f>
        <v/>
      </c>
      <c r="Q30" s="49">
        <f>SUMIFS(TRABAJOS!$I$3:$I$202,TRABAJOS!$B$3:$B$202,"&gt;="&amp;S30,TRABAJOS!$B$3:$B$202,"&lt;="&amp;T30)</f>
        <v/>
      </c>
      <c r="S30">
        <f>DATE(YEAR(TODAY()),MONTH(TODAY())-0,1)</f>
        <v/>
      </c>
      <c r="T30">
        <f>EOMONTH(S30,0)</f>
        <v/>
      </c>
    </row>
    <row r="32">
      <c r="A32" s="21" t="inlineStr">
        <is>
          <t>TENDENCIA DE VENTAS (SEMANAL)</t>
        </is>
      </c>
    </row>
    <row r="50">
      <c r="A50" s="14" t="inlineStr">
        <is>
          <t>RESUMEN MENSUAL DE VENTAS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8A"/>
  <mergeCells count="7">
    <mergeCell ref="A1:N1"/>
    <mergeCell ref="A32:J32"/>
    <mergeCell ref="A14:J14"/>
    <mergeCell ref="A3:J3"/>
    <mergeCell ref="A50:J50"/>
    <mergeCell ref="A7:J7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50" t="inlineStr">
        <is>
          <t>GM7 PRO · DATOS DE LA EMPRESA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s="51" t="inlineStr">
        <is>
          <t>Nombre empresa</t>
        </is>
      </c>
      <c r="B3" s="52" t="inlineStr">
        <is>
          <t>GM7 Impresión Profesional</t>
        </is>
      </c>
    </row>
    <row r="4">
      <c r="A4" s="51" t="inlineStr">
        <is>
          <t>Razón social</t>
        </is>
      </c>
      <c r="B4" s="52" t="inlineStr">
        <is>
          <t>GM7 Servicios Gráficos SA de CV</t>
        </is>
      </c>
    </row>
    <row r="5">
      <c r="A5" s="51" t="inlineStr">
        <is>
          <t>RFC</t>
        </is>
      </c>
      <c r="B5" s="52" t="inlineStr">
        <is>
          <t>GM701010ABC</t>
        </is>
      </c>
    </row>
    <row r="6">
      <c r="A6" s="51" t="inlineStr">
        <is>
          <t>Teléfono</t>
        </is>
      </c>
      <c r="B6" s="52" t="inlineStr">
        <is>
          <t>33 1234 5678</t>
        </is>
      </c>
    </row>
    <row r="7">
      <c r="A7" s="51" t="inlineStr">
        <is>
          <t>Correo</t>
        </is>
      </c>
      <c r="B7" s="52" t="inlineStr">
        <is>
          <t>contacto@gm7.com</t>
        </is>
      </c>
    </row>
    <row r="8">
      <c r="A8" s="51" t="inlineStr">
        <is>
          <t>Dirección</t>
        </is>
      </c>
      <c r="B8" s="52" t="inlineStr">
        <is>
          <t>Guadalajara, Jalisco</t>
        </is>
      </c>
    </row>
    <row r="9">
      <c r="A9" s="51" t="inlineStr">
        <is>
          <t>Mensaje cotización</t>
        </is>
      </c>
      <c r="B9" s="52" t="inlineStr">
        <is>
          <t>Vigencia de 15 días naturales.</t>
        </is>
      </c>
    </row>
    <row r="10">
      <c r="A10" s="51" t="inlineStr">
        <is>
          <t>Mensaje recibo</t>
        </is>
      </c>
      <c r="B10" s="52" t="inlineStr">
        <is>
          <t>Gracias por su preferencia.</t>
        </is>
      </c>
    </row>
    <row r="11">
      <c r="A11" s="51" t="inlineStr">
        <is>
          <t>Logo</t>
        </is>
      </c>
      <c r="B11" s="52" t="inlineStr">
        <is>
          <t>Pendiente de integración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8A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2026-06-11T16:57:06Z</dcterms:created>
  <dcterms:modified xsi:type="dcterms:W3CDTF">2026-06-11T16:57:06Z</dcterms:modified>
</cp:coreProperties>
</file>